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D4D9CD52-29A3-449F-8B71-8A24038630B7}" xr6:coauthVersionLast="47" xr6:coauthVersionMax="47" xr10:uidLastSave="{00000000-0000-0000-0000-000000000000}"/>
  <bookViews>
    <workbookView xWindow="8808" yWindow="636" windowWidth="27984" windowHeight="14532" activeTab="1" xr2:uid="{00000000-000D-0000-FFFF-FFFF00000000}"/>
  </bookViews>
  <sheets>
    <sheet name="1. Данные" sheetId="1" r:id="rId1"/>
    <sheet name="2. Удлинения" sheetId="2" r:id="rId2"/>
    <sheet name="3. Инструкция (изол.)" sheetId="3" r:id="rId3"/>
    <sheet name="4. Источники (остатки)" sheetId="4" r:id="rId4"/>
    <sheet name="5. Приёмные катушки" sheetId="5" r:id="rId5"/>
    <sheet name="6. Скрутк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6" l="1"/>
  <c r="H14" i="6" s="1"/>
  <c r="H16" i="6" s="1"/>
  <c r="B8" i="1"/>
  <c r="G25" i="1"/>
  <c r="G13" i="1"/>
  <c r="G14" i="1"/>
  <c r="G15" i="1"/>
  <c r="G16" i="1"/>
  <c r="G17" i="1"/>
  <c r="G18" i="1"/>
  <c r="G19" i="1"/>
  <c r="G20" i="1"/>
  <c r="G21" i="1"/>
  <c r="G22" i="1"/>
  <c r="G23" i="1"/>
  <c r="G24" i="1"/>
  <c r="G12" i="1"/>
  <c r="H4" i="6"/>
  <c r="H5" i="6"/>
  <c r="H6" i="6"/>
  <c r="H7" i="6"/>
  <c r="H8" i="6"/>
  <c r="H9" i="6"/>
  <c r="H10" i="6"/>
  <c r="H11" i="6"/>
  <c r="H12" i="6"/>
  <c r="H13" i="6"/>
</calcChain>
</file>

<file path=xl/sharedStrings.xml><?xml version="1.0" encoding="utf-8"?>
<sst xmlns="http://schemas.openxmlformats.org/spreadsheetml/2006/main" count="702" uniqueCount="101">
  <si>
    <t>БАРАБАНЫ (ИСТОЧНИКИ)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</si>
  <si>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</si>
  <si>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</si>
  <si>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</si>
  <si>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</si>
  <si>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</si>
  <si>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</si>
  <si>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</si>
  <si>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</si>
  <si>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</si>
  <si>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</si>
  <si>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</si>
  <si>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</si>
  <si>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Можно увеличить?</t>
  </si>
  <si>
    <t>п.10 КОСМОГЕР Вз-ВБШвнг(А)-LS 5х16мк(N,PE)-1, 460м*1,1 одной длиной</t>
  </si>
  <si>
    <t>ж/з, синий, чёрный, коричневый, натуральный</t>
  </si>
  <si>
    <t>нет</t>
  </si>
  <si>
    <t>п.30 КОСМОГЕР Вз-ВБШвнг(А)-LS 5х16мк(N,PE)-1, 430м*1,1 одной длиной</t>
  </si>
  <si>
    <t>п.31 КОСМОГЕР Вз-ВБШвнг(А)-LS 5х16мк(N,PE)-1, 670м*1,1 макс. длиной</t>
  </si>
  <si>
    <t>п.37 КОСМОГЕР Вз-ВБШвнг(А)-LS 5х16мк(N,PE)-1, 790м*1,1 макс. длиной</t>
  </si>
  <si>
    <t>п.42 КОСМОГЕР Вз-ВБШвнг(А)-LS 5х16мк(N,PE)-1, 350м*1,1 одной длиной</t>
  </si>
  <si>
    <t>п.51 КОСМОГЕР Вз-ВБШвнг(А)-LS 5х16мк(N,PE)-1, 705м*1,1 одной длиной</t>
  </si>
  <si>
    <t>п.53 КОСМОГЕР Вз-ВВГнг(А)-LS 5х16мк(N,PE)-1, 400м*1,1 одной длиной</t>
  </si>
  <si>
    <t>п.56 КОСМОГЕР Вз-ВБШвнг(А)-LS 5х16мк(N,PE)-1, 1035м*1,1 одной длиной</t>
  </si>
  <si>
    <t>п.88 КОСМОГЕР Вз-ВВГнг(А)-LS 5х16мк(N,PE)-1, 120м*1,1 одной длиной</t>
  </si>
  <si>
    <t>п.14/1 КОСМОГЕР Вз-ВБШвнг(PE)-LS 4х16мк(N)-1, 1000м</t>
  </si>
  <si>
    <t>ж/з, чёрный, коричневый, натуральный</t>
  </si>
  <si>
    <t>да</t>
  </si>
  <si>
    <t>п.14/2 КОСМОГЕР Вз-ВБШвнг(PE)-LS 4х16мк(N)-1, 1000м</t>
  </si>
  <si>
    <t>п.14/3 КОСМОГЕР Вз-ВБШвнг(PE)-LS 4х16мк(N)-1, 1000м</t>
  </si>
  <si>
    <t>п.14/4 КОСМОГЕР Вз-ВБШвнг(PE)-LS 4х16мк(N)-1, 1000м</t>
  </si>
  <si>
    <t>ГИБКИЕ ЗАКАЗЫ — УДЛИНЕНИЯ</t>
  </si>
  <si>
    <t>Удлинение (м)</t>
  </si>
  <si>
    <t>Итог (м)</t>
  </si>
  <si>
    <t>Доп. провод (м)</t>
  </si>
  <si>
    <t>№</t>
  </si>
  <si>
    <t>Смена отдающего</t>
  </si>
  <si>
    <t>Смена цвета</t>
  </si>
  <si>
    <t>Смена приёмного</t>
  </si>
  <si>
    <t>Цвет</t>
  </si>
  <si>
    <t>Изолировать (м)</t>
  </si>
  <si>
    <t>Приёмный бар.</t>
  </si>
  <si>
    <t>Набор для скрутки</t>
  </si>
  <si>
    <t>Было (м)</t>
  </si>
  <si>
    <t>Осталось (м)</t>
  </si>
  <si>
    <t>ж/з</t>
  </si>
  <si>
    <t>Н2-ж/з</t>
  </si>
  <si>
    <t>Н2</t>
  </si>
  <si>
    <t>!</t>
  </si>
  <si>
    <t>Н1-ж/з</t>
  </si>
  <si>
    <t>Н1</t>
  </si>
  <si>
    <t>Н0-ж/з</t>
  </si>
  <si>
    <t>Н0</t>
  </si>
  <si>
    <t>синий</t>
  </si>
  <si>
    <t>Н2-синий</t>
  </si>
  <si>
    <t>Н1-синий</t>
  </si>
  <si>
    <t>Н0-синий</t>
  </si>
  <si>
    <t>чёрный</t>
  </si>
  <si>
    <t>Н2-чёрный</t>
  </si>
  <si>
    <t>Н1-чёрный</t>
  </si>
  <si>
    <t>Н0-чёрный</t>
  </si>
  <si>
    <t>коричневый</t>
  </si>
  <si>
    <t>Н2-коричневый</t>
  </si>
  <si>
    <t>Н1-коричневый</t>
  </si>
  <si>
    <t>Н0-коричневый</t>
  </si>
  <si>
    <t>натуральный</t>
  </si>
  <si>
    <t>Н2-натуральный</t>
  </si>
  <si>
    <t>Н1-натуральный</t>
  </si>
  <si>
    <t>Н0-натуральный</t>
  </si>
  <si>
    <t>ОСТАТКИ НА БАРАБАНАХ-ИСТОЧНИКАХ</t>
  </si>
  <si>
    <t>Использовано (м)</t>
  </si>
  <si>
    <t>Остаток (м)</t>
  </si>
  <si>
    <t>Загрузка</t>
  </si>
  <si>
    <t>100.0%</t>
  </si>
  <si>
    <t>ПРИЁМНЫЕ КАТУШКИ — 5000 м/жилу | Намотка ↑ = отрезки от нижнего конца через +</t>
  </si>
  <si>
    <t>Набор</t>
  </si>
  <si>
    <t>Кабели (откуда)</t>
  </si>
  <si>
    <t>Намотка (м) ↑</t>
  </si>
  <si>
    <t>Итого (м)</t>
  </si>
  <si>
    <t>Статус</t>
  </si>
  <si>
    <t>п.14/3 КОСМОГЕР Вз-ВБШвнг(PE)-LS 4х16мк(N)-1, 1000м (из Барабан-2), п.14/4 КОСМОГЕР Вз-ВБШвнг(PE)-LS 4х16мк(N)-1, 1000м (из Барабан-3), п.42 КОСМОГЕР Вз-ВБШвнг(А)-LS 5х16мк(N,PE)-1, 350м*1,1 одной длиной (из Барабан-4), п.56 КОСМОГЕР Вз-ВБШвнг(А)-LS 5х16мк(N,PE)-1, 1035м*1,1 одной длиной (из Барабан-5)</t>
  </si>
  <si>
    <t>1500+1969+385+1138</t>
  </si>
  <si>
    <t>99.8%</t>
  </si>
  <si>
    <t>OK</t>
  </si>
  <si>
    <t>п.37 КОСМОГЕР Вз-ВБШвнг(А)-LS 5х16мк(N,PE)-1, 790м*1,1 макс. длиной (из Барабан-1), п.51 КОСМОГЕР Вз-ВБШвнг(А)-LS 5х16мк(N,PE)-1, 705м*1,1 одной длиной (из Барабан-1), п.10 КОСМОГЕР Вз-ВБШвнг(А)-LS 5х16мк(N,PE)-1, 460м*1,1 одной длиной (из Барабан-4), п.31 КОСМОГЕР Вз-ВБШвнг(А)-LS 5х16мк(N,PE)-1, 670м*1,1 макс. длиной (из Барабан-4), п.53 КОСМОГЕР Вз-ВВГнг(А)-LS 5х16мк(N,PE)-1, 400м*1,1 одной длиной (из Барабан-4), п.30 КОСМОГЕР Вз-ВБШвнг(А)-LS 5х16мк(N,PE)-1, 430м*1,1 одной длиной (из Барабан-5), п.56 КОСМОГЕР Вз-ВБШвнг(А)-LS 5х16мк(N,PE)-1, 1035м*1,1 одной длиной (из Барабан-5)</t>
  </si>
  <si>
    <t>869+775+506+737+440+473+1138</t>
  </si>
  <si>
    <t>98.8%</t>
  </si>
  <si>
    <t>п.37 КОСМОГЕР Вз-ВБШвнг(А)-LS 5х16мк(N,PE)-1, 790м*1,1 макс. длиной (из Барабан-1), п.51 КОСМОГЕР Вз-ВБШвнг(А)-LS 5х16мк(N,PE)-1, 705м*1,1 одной длиной (из Барабан-1), п.14/2 КОСМОГЕР Вз-ВБШвнг(PE)-LS 4х16мк(N)-1, 1000м (из Барабан-2), п.14/1 КОСМОГЕР Вз-ВБШвнг(PE)-LS 4х16мк(N)-1, 1000м (из Барабан-3), п.10 КОСМОГЕР Вз-ВБШвнг(А)-LS 5х16мк(N,PE)-1, 460м*1,1 одной длиной (из Барабан-4), п.31 КОСМОГЕР Вз-ВБШвнг(А)-LS 5х16мк(N,PE)-1, 670м*1,1 макс. длиной (из Барабан-4), п.30 КОСМОГЕР Вз-ВБШвнг(А)-LS 5х16мк(N,PE)-1, 430м*1,1 одной длиной (из Барабан-5)</t>
  </si>
  <si>
    <t>869+775+1000+531+506+737+473</t>
  </si>
  <si>
    <t>97.8%</t>
  </si>
  <si>
    <t>п.42 КОСМОГЕР Вз-ВБШвнг(А)-LS 5х16мк(N,PE)-1, 350м*1,1 одной длиной (из Барабан-4), п.88 КОСМОГЕР Вз-ВВГнг(А)-LS 5х16мк(N,PE)-1, 120м*1,1 одной длиной (из Барабан-4)</t>
  </si>
  <si>
    <t>385+132</t>
  </si>
  <si>
    <t>10.3%</t>
  </si>
  <si>
    <t>ИНСТРУКЦИЯ СКРУТКИ — по наборам | порядок скрутки = обратный намотке (верх катушки → низ)</t>
  </si>
  <si>
    <t>Загрузить катушки</t>
  </si>
  <si>
    <t>Итого в наборе (м)</t>
  </si>
  <si>
    <t>Кабель</t>
  </si>
  <si>
    <t>Длина скрутки (м)</t>
  </si>
  <si>
    <t>Н1-ж/з + Н1-синий + Н1-чёрный + Н1-коричневый + Н1-натуральный</t>
  </si>
  <si>
    <t>Н2-ж/з + Н2-синий + Н2-чёрный + Н2-коричневый + Н2-натуральный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</si>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</sst>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ACD"/>
        <bgColor rgb="FFFFFACD"/>
      </patternFill>
    </fill>
    <fill>
      <patternFill patternType="solid">
        <fgColor rgb="FFFF8C00"/>
        <bgColor rgb="FFFF8C00"/>
      </patternFill>
    </fill>
    <fill>
      <patternFill patternType="solid">
        <fgColor rgb="FFA9A9A9"/>
        <bgColor rgb="FFA9A9A9"/>
      </patternFill>
    </fill>
    <fill>
      <patternFill patternType="solid">
        <fgColor rgb="FFDDEEFF"/>
        <bgColor rgb="FFDDEEFF"/>
      </patternFill>
    </fill>
    <fill>
      <patternFill patternType="solid">
        <fgColor rgb="FFDAA520"/>
        <bgColor rgb="FFDAA520"/>
      </patternFill>
    </fill>
    <fill>
      <patternFill patternType="solid">
        <fgColor rgb="FFEBEBEB"/>
        <bgColor rgb="FFEBEBEB"/>
      </patternFill>
    </fill>
    <fill>
      <patternFill patternType="solid">
        <fgColor rgb="FFF5E6D3"/>
        <bgColor rgb="FFF5E6D3"/>
      </patternFill>
    </fill>
    <fill>
      <patternFill patternType="solid">
        <fgColor rgb="FFF8F8F0"/>
        <bgColor rgb="FFF8F8F0"/>
      </patternFill>
    </fill>
    <fill>
      <patternFill patternType="solid">
        <fgColor rgb="FFE8E0F0"/>
        <bgColor rgb="FFE8E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B9" sqref="B9"/>
    </sheetView>
  </sheetViews>
  <sheetFormatPr defaultRowHeight="14.4" x14ac:dyDescent="0.3"/>
  <cols>
    <col min="1" max="1" width="55" customWidth="1"/>
    <col min="2" max="2" width="17" customWidth="1"/>
    <col min="3" max="3" width="6" customWidth="1"/>
    <col min="4" max="4" width="46" customWidth="1"/>
    <col min="5" max="5" width="19" customWidth="1"/>
  </cols>
  <sheetData>
    <row r="1" spans="1:7" x14ac:dyDescent="0.3">
      <c r="A1" s="1" t="s">
        <v>0</v>
      </c>
    </row>
    <row r="2" spans="1:7" x14ac:dyDescent="0.3">
      <c r="A2" s="2" t="s">
        <v>1</v>
      </c>
      <c r="B2" s="2" t="s">
        <v>2</v>
      </c>
    </row>
    <row r="3" spans="1:7" x14ac:dyDescent="0.3">
      <c r="A3" s="1" t="s">
        <v>3</v>
      </c>
      <c r="B3" s="1">
        <v>10000</v>
      </c>
    </row>
    <row r="4" spans="1:7" x14ac:dyDescent="0.3">
      <c r="A4" s="1" t="s">
        <v>4</v>
      </c>
      <c r="B4" s="1">
        <v>10000</v>
      </c>
    </row>
    <row r="5" spans="1:7" x14ac:dyDescent="0.3">
      <c r="A5" s="1" t="s">
        <v>5</v>
      </c>
      <c r="B5" s="1">
        <v>10000</v>
      </c>
    </row>
    <row r="6" spans="1:7" x14ac:dyDescent="0.3">
      <c r="A6" s="1" t="s">
        <v>6</v>
      </c>
      <c r="B6" s="1">
        <v>11000</v>
      </c>
    </row>
    <row r="7" spans="1:7" x14ac:dyDescent="0.3">
      <c r="A7" s="1" t="s">
        <v>7</v>
      </c>
      <c r="B7" s="1">
        <v>9931</v>
      </c>
    </row>
    <row r="8" spans="1:7" x14ac:dyDescent="0.3">
      <c r="B8">
        <f>SUM(B3:B7)</f>
        <v>50931</v>
      </c>
    </row>
    <row r="10" spans="1:7" x14ac:dyDescent="0.3">
      <c r="A10" s="1" t="s">
        <v>8</v>
      </c>
    </row>
    <row r="11" spans="1:7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7" ht="28.8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  <c r="G12">
        <f>C12*B12</f>
        <v>2530</v>
      </c>
    </row>
    <row r="13" spans="1:7" ht="28.8" x14ac:dyDescent="0.3">
      <c r="A13" s="1" t="s">
        <v>17</v>
      </c>
      <c r="B13" s="1">
        <v>473</v>
      </c>
      <c r="C13" s="1">
        <v>5</v>
      </c>
      <c r="D13" s="1" t="s">
        <v>15</v>
      </c>
      <c r="E13" s="1" t="s">
        <v>16</v>
      </c>
      <c r="G13">
        <f t="shared" ref="G13:G24" si="0">C13*B13</f>
        <v>2365</v>
      </c>
    </row>
    <row r="14" spans="1:7" ht="28.8" x14ac:dyDescent="0.3">
      <c r="A14" s="1" t="s">
        <v>18</v>
      </c>
      <c r="B14" s="1">
        <v>737</v>
      </c>
      <c r="C14" s="1">
        <v>5</v>
      </c>
      <c r="D14" s="1" t="s">
        <v>15</v>
      </c>
      <c r="E14" s="1" t="s">
        <v>16</v>
      </c>
      <c r="G14">
        <f t="shared" si="0"/>
        <v>3685</v>
      </c>
    </row>
    <row r="15" spans="1:7" ht="28.8" x14ac:dyDescent="0.3">
      <c r="A15" s="1" t="s">
        <v>19</v>
      </c>
      <c r="B15" s="1">
        <v>869</v>
      </c>
      <c r="C15" s="1">
        <v>5</v>
      </c>
      <c r="D15" s="1" t="s">
        <v>15</v>
      </c>
      <c r="E15" s="1" t="s">
        <v>16</v>
      </c>
      <c r="G15">
        <f t="shared" si="0"/>
        <v>4345</v>
      </c>
    </row>
    <row r="16" spans="1:7" ht="28.8" x14ac:dyDescent="0.3">
      <c r="A16" s="1" t="s">
        <v>20</v>
      </c>
      <c r="B16" s="1">
        <v>385</v>
      </c>
      <c r="C16" s="1">
        <v>5</v>
      </c>
      <c r="D16" s="1" t="s">
        <v>15</v>
      </c>
      <c r="E16" s="1" t="s">
        <v>16</v>
      </c>
      <c r="G16">
        <f t="shared" si="0"/>
        <v>1925</v>
      </c>
    </row>
    <row r="17" spans="1:7" ht="28.8" x14ac:dyDescent="0.3">
      <c r="A17" s="1" t="s">
        <v>21</v>
      </c>
      <c r="B17" s="1">
        <v>775</v>
      </c>
      <c r="C17" s="1">
        <v>5</v>
      </c>
      <c r="D17" s="1" t="s">
        <v>15</v>
      </c>
      <c r="E17" s="1" t="s">
        <v>16</v>
      </c>
      <c r="G17">
        <f t="shared" si="0"/>
        <v>3875</v>
      </c>
    </row>
    <row r="18" spans="1:7" ht="28.8" x14ac:dyDescent="0.3">
      <c r="A18" s="1" t="s">
        <v>22</v>
      </c>
      <c r="B18" s="1">
        <v>440</v>
      </c>
      <c r="C18" s="1">
        <v>5</v>
      </c>
      <c r="D18" s="1" t="s">
        <v>15</v>
      </c>
      <c r="E18" s="1" t="s">
        <v>16</v>
      </c>
      <c r="G18">
        <f t="shared" si="0"/>
        <v>2200</v>
      </c>
    </row>
    <row r="19" spans="1:7" ht="28.8" x14ac:dyDescent="0.3">
      <c r="A19" s="1" t="s">
        <v>23</v>
      </c>
      <c r="B19" s="1">
        <v>1138</v>
      </c>
      <c r="C19" s="1">
        <v>5</v>
      </c>
      <c r="D19" s="1" t="s">
        <v>15</v>
      </c>
      <c r="E19" s="1" t="s">
        <v>16</v>
      </c>
      <c r="G19">
        <f t="shared" si="0"/>
        <v>5690</v>
      </c>
    </row>
    <row r="20" spans="1:7" ht="28.8" x14ac:dyDescent="0.3">
      <c r="A20" s="1" t="s">
        <v>24</v>
      </c>
      <c r="B20" s="1">
        <v>132</v>
      </c>
      <c r="C20" s="1">
        <v>5</v>
      </c>
      <c r="D20" s="1" t="s">
        <v>15</v>
      </c>
      <c r="E20" s="1" t="s">
        <v>16</v>
      </c>
      <c r="G20">
        <f t="shared" si="0"/>
        <v>660</v>
      </c>
    </row>
    <row r="21" spans="1:7" x14ac:dyDescent="0.3">
      <c r="A21" s="1" t="s">
        <v>25</v>
      </c>
      <c r="B21" s="1">
        <v>1000</v>
      </c>
      <c r="C21" s="1">
        <v>4</v>
      </c>
      <c r="D21" s="1" t="s">
        <v>26</v>
      </c>
      <c r="E21" s="1" t="s">
        <v>27</v>
      </c>
      <c r="G21">
        <f t="shared" si="0"/>
        <v>4000</v>
      </c>
    </row>
    <row r="22" spans="1:7" x14ac:dyDescent="0.3">
      <c r="A22" s="1" t="s">
        <v>28</v>
      </c>
      <c r="B22" s="1">
        <v>1000</v>
      </c>
      <c r="C22" s="1">
        <v>4</v>
      </c>
      <c r="D22" s="1" t="s">
        <v>26</v>
      </c>
      <c r="E22" s="1" t="s">
        <v>27</v>
      </c>
      <c r="G22">
        <f t="shared" si="0"/>
        <v>4000</v>
      </c>
    </row>
    <row r="23" spans="1:7" x14ac:dyDescent="0.3">
      <c r="A23" s="1" t="s">
        <v>29</v>
      </c>
      <c r="B23" s="1">
        <v>1000</v>
      </c>
      <c r="C23" s="1">
        <v>4</v>
      </c>
      <c r="D23" s="1" t="s">
        <v>26</v>
      </c>
      <c r="E23" s="1" t="s">
        <v>27</v>
      </c>
      <c r="G23">
        <f t="shared" si="0"/>
        <v>4000</v>
      </c>
    </row>
    <row r="24" spans="1:7" x14ac:dyDescent="0.3">
      <c r="A24" s="1" t="s">
        <v>30</v>
      </c>
      <c r="B24" s="1">
        <v>1000</v>
      </c>
      <c r="C24" s="1">
        <v>4</v>
      </c>
      <c r="D24" s="1" t="s">
        <v>26</v>
      </c>
      <c r="E24" s="1" t="s">
        <v>27</v>
      </c>
      <c r="G24">
        <f t="shared" si="0"/>
        <v>4000</v>
      </c>
    </row>
    <row r="25" spans="1:7" x14ac:dyDescent="0.3">
      <c r="G25">
        <f>SUM(G12:G24)</f>
        <v>43275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D3" sqref="D3:D4"/>
    </sheetView>
  </sheetViews>
  <sheetFormatPr defaultRowHeight="14.4" x14ac:dyDescent="0.3"/>
  <cols>
    <col min="1" max="1" width="54" customWidth="1"/>
    <col min="2" max="2" width="17" customWidth="1"/>
    <col min="3" max="3" width="16" customWidth="1"/>
    <col min="4" max="4" width="11" customWidth="1"/>
    <col min="5" max="5" width="6" customWidth="1"/>
    <col min="6" max="6" width="18" customWidth="1"/>
  </cols>
  <sheetData>
    <row r="1" spans="1:6" x14ac:dyDescent="0.3">
      <c r="A1" s="1" t="s">
        <v>31</v>
      </c>
    </row>
    <row r="2" spans="1:6" x14ac:dyDescent="0.3">
      <c r="A2" s="2" t="s">
        <v>9</v>
      </c>
      <c r="B2" s="2" t="s">
        <v>10</v>
      </c>
      <c r="C2" s="2" t="s">
        <v>32</v>
      </c>
      <c r="D2" s="2" t="s">
        <v>33</v>
      </c>
      <c r="E2" s="2" t="s">
        <v>11</v>
      </c>
      <c r="F2" s="2" t="s">
        <v>34</v>
      </c>
    </row>
    <row r="3" spans="1:6" x14ac:dyDescent="0.3">
      <c r="A3" s="1" t="s">
        <v>29</v>
      </c>
      <c r="B3" s="1">
        <v>1000</v>
      </c>
      <c r="C3" s="1">
        <v>945</v>
      </c>
      <c r="D3" s="1">
        <v>1945</v>
      </c>
      <c r="E3" s="1">
        <v>4</v>
      </c>
      <c r="F3" s="1">
        <v>3780</v>
      </c>
    </row>
    <row r="4" spans="1:6" x14ac:dyDescent="0.3">
      <c r="A4" s="1" t="s">
        <v>30</v>
      </c>
      <c r="B4" s="1">
        <v>1000</v>
      </c>
      <c r="C4" s="1">
        <v>969</v>
      </c>
      <c r="D4" s="1">
        <v>1969</v>
      </c>
      <c r="E4" s="1">
        <v>4</v>
      </c>
      <c r="F4" s="1">
        <v>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0"/>
  <sheetViews>
    <sheetView topLeftCell="A61" zoomScale="70" zoomScaleNormal="70" workbookViewId="0">
      <selection activeCell="I76" sqref="I76:M90"/>
    </sheetView>
  </sheetViews>
  <sheetFormatPr defaultRowHeight="14.4" x14ac:dyDescent="0.3"/>
  <cols>
    <col min="1" max="1" width="27" customWidth="1"/>
    <col min="2" max="2" width="18" customWidth="1"/>
    <col min="3" max="3" width="14" customWidth="1"/>
    <col min="4" max="4" width="18" customWidth="1"/>
    <col min="5" max="5" width="14" customWidth="1"/>
    <col min="6" max="6" width="69.44140625" bestFit="1" customWidth="1"/>
    <col min="7" max="7" width="18.33203125" bestFit="1" customWidth="1"/>
    <col min="8" max="8" width="10.5546875" bestFit="1" customWidth="1"/>
    <col min="9" max="9" width="18" customWidth="1"/>
    <col min="10" max="10" width="17" customWidth="1"/>
    <col min="11" max="11" width="20" customWidth="1"/>
    <col min="12" max="12" width="11" customWidth="1"/>
    <col min="13" max="13" width="15" customWidth="1"/>
  </cols>
  <sheetData>
    <row r="1" spans="1:13" x14ac:dyDescent="0.3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9</v>
      </c>
      <c r="G1" s="2" t="s">
        <v>13</v>
      </c>
      <c r="H1" s="2" t="s">
        <v>1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</row>
    <row r="2" spans="1:13" x14ac:dyDescent="0.3">
      <c r="A2" s="4">
        <v>1</v>
      </c>
      <c r="E2" s="4" t="s">
        <v>45</v>
      </c>
      <c r="F2" s="4" t="s">
        <v>19</v>
      </c>
      <c r="G2" s="4" t="s">
        <v>16</v>
      </c>
      <c r="H2" s="4" t="s">
        <v>3</v>
      </c>
      <c r="I2" s="4">
        <v>869</v>
      </c>
      <c r="J2" s="4" t="s">
        <v>46</v>
      </c>
      <c r="K2" s="4" t="s">
        <v>47</v>
      </c>
      <c r="L2" s="4">
        <v>10000</v>
      </c>
      <c r="M2" s="4">
        <v>9131</v>
      </c>
    </row>
    <row r="3" spans="1:13" x14ac:dyDescent="0.3">
      <c r="A3" s="4">
        <v>2</v>
      </c>
      <c r="E3" s="4" t="s">
        <v>45</v>
      </c>
      <c r="F3" s="4" t="s">
        <v>21</v>
      </c>
      <c r="G3" s="4" t="s">
        <v>16</v>
      </c>
      <c r="H3" s="4" t="s">
        <v>3</v>
      </c>
      <c r="I3" s="4">
        <v>775</v>
      </c>
      <c r="J3" s="4" t="s">
        <v>46</v>
      </c>
      <c r="K3" s="4" t="s">
        <v>47</v>
      </c>
      <c r="L3" s="4">
        <v>9131</v>
      </c>
      <c r="M3" s="4">
        <v>8356</v>
      </c>
    </row>
    <row r="4" spans="1:13" x14ac:dyDescent="0.3">
      <c r="A4" s="4">
        <v>3</v>
      </c>
      <c r="B4" s="5" t="s">
        <v>48</v>
      </c>
      <c r="E4" s="4" t="s">
        <v>45</v>
      </c>
      <c r="F4" s="4" t="s">
        <v>28</v>
      </c>
      <c r="G4" s="4" t="s">
        <v>27</v>
      </c>
      <c r="H4" s="4" t="s">
        <v>4</v>
      </c>
      <c r="I4" s="4">
        <v>1000</v>
      </c>
      <c r="J4" s="4" t="s">
        <v>46</v>
      </c>
      <c r="K4" s="4" t="s">
        <v>47</v>
      </c>
      <c r="L4" s="4">
        <v>10000</v>
      </c>
      <c r="M4" s="4">
        <v>9000</v>
      </c>
    </row>
    <row r="5" spans="1:13" x14ac:dyDescent="0.3">
      <c r="A5" s="4">
        <v>4</v>
      </c>
      <c r="D5" s="6" t="s">
        <v>48</v>
      </c>
      <c r="E5" s="4" t="s">
        <v>45</v>
      </c>
      <c r="F5" s="4" t="s">
        <v>29</v>
      </c>
      <c r="G5" s="4" t="s">
        <v>27</v>
      </c>
      <c r="H5" s="4" t="s">
        <v>4</v>
      </c>
      <c r="I5" s="4">
        <v>1500</v>
      </c>
      <c r="J5" s="4" t="s">
        <v>49</v>
      </c>
      <c r="K5" s="4" t="s">
        <v>50</v>
      </c>
      <c r="L5" s="4">
        <v>9000</v>
      </c>
      <c r="M5" s="4">
        <v>7500</v>
      </c>
    </row>
    <row r="6" spans="1:13" x14ac:dyDescent="0.3">
      <c r="A6" s="4">
        <v>5</v>
      </c>
      <c r="B6" s="5" t="s">
        <v>48</v>
      </c>
      <c r="D6" s="6" t="s">
        <v>48</v>
      </c>
      <c r="E6" s="4" t="s">
        <v>45</v>
      </c>
      <c r="F6" s="4" t="s">
        <v>29</v>
      </c>
      <c r="G6" s="4" t="s">
        <v>27</v>
      </c>
      <c r="H6" s="4" t="s">
        <v>3</v>
      </c>
      <c r="I6" s="4">
        <v>445</v>
      </c>
      <c r="J6" s="4" t="s">
        <v>51</v>
      </c>
      <c r="K6" s="4" t="s">
        <v>52</v>
      </c>
      <c r="L6" s="4">
        <v>8356</v>
      </c>
      <c r="M6" s="4">
        <v>7911</v>
      </c>
    </row>
    <row r="7" spans="1:13" x14ac:dyDescent="0.3">
      <c r="A7" s="4">
        <v>6</v>
      </c>
      <c r="B7" s="5" t="s">
        <v>48</v>
      </c>
      <c r="D7" s="6" t="s">
        <v>48</v>
      </c>
      <c r="E7" s="4" t="s">
        <v>45</v>
      </c>
      <c r="F7" s="4" t="s">
        <v>25</v>
      </c>
      <c r="G7" s="4" t="s">
        <v>27</v>
      </c>
      <c r="H7" s="4" t="s">
        <v>5</v>
      </c>
      <c r="I7" s="4">
        <v>531</v>
      </c>
      <c r="J7" s="4" t="s">
        <v>46</v>
      </c>
      <c r="K7" s="4" t="s">
        <v>47</v>
      </c>
      <c r="L7" s="4">
        <v>10000</v>
      </c>
      <c r="M7" s="4">
        <v>9469</v>
      </c>
    </row>
    <row r="8" spans="1:13" x14ac:dyDescent="0.3">
      <c r="A8" s="4">
        <v>7</v>
      </c>
      <c r="B8" s="5" t="s">
        <v>48</v>
      </c>
      <c r="D8" s="6" t="s">
        <v>48</v>
      </c>
      <c r="E8" s="4" t="s">
        <v>45</v>
      </c>
      <c r="F8" s="4" t="s">
        <v>25</v>
      </c>
      <c r="G8" s="4" t="s">
        <v>27</v>
      </c>
      <c r="H8" s="4" t="s">
        <v>7</v>
      </c>
      <c r="I8" s="4">
        <v>469</v>
      </c>
      <c r="J8" s="4" t="s">
        <v>51</v>
      </c>
      <c r="K8" s="4" t="s">
        <v>52</v>
      </c>
      <c r="L8" s="4">
        <v>9931</v>
      </c>
      <c r="M8" s="4">
        <v>9462</v>
      </c>
    </row>
    <row r="9" spans="1:13" x14ac:dyDescent="0.3">
      <c r="A9" s="4">
        <v>8</v>
      </c>
      <c r="B9" s="5" t="s">
        <v>48</v>
      </c>
      <c r="D9" s="6" t="s">
        <v>48</v>
      </c>
      <c r="E9" s="4" t="s">
        <v>45</v>
      </c>
      <c r="F9" s="4" t="s">
        <v>30</v>
      </c>
      <c r="G9" s="4" t="s">
        <v>27</v>
      </c>
      <c r="H9" s="4" t="s">
        <v>5</v>
      </c>
      <c r="I9" s="4">
        <v>1969</v>
      </c>
      <c r="J9" s="4" t="s">
        <v>49</v>
      </c>
      <c r="K9" s="4" t="s">
        <v>50</v>
      </c>
      <c r="L9" s="4">
        <v>9469</v>
      </c>
      <c r="M9" s="4">
        <v>7500</v>
      </c>
    </row>
    <row r="10" spans="1:13" x14ac:dyDescent="0.3">
      <c r="A10" s="4">
        <v>9</v>
      </c>
      <c r="B10" s="5" t="s">
        <v>48</v>
      </c>
      <c r="D10" s="6" t="s">
        <v>48</v>
      </c>
      <c r="E10" s="4" t="s">
        <v>45</v>
      </c>
      <c r="F10" s="4" t="s">
        <v>14</v>
      </c>
      <c r="G10" s="4" t="s">
        <v>16</v>
      </c>
      <c r="H10" s="4" t="s">
        <v>6</v>
      </c>
      <c r="I10" s="4">
        <v>506</v>
      </c>
      <c r="J10" s="4" t="s">
        <v>46</v>
      </c>
      <c r="K10" s="4" t="s">
        <v>47</v>
      </c>
      <c r="L10" s="4">
        <v>11000</v>
      </c>
      <c r="M10" s="4">
        <v>10494</v>
      </c>
    </row>
    <row r="11" spans="1:13" x14ac:dyDescent="0.3">
      <c r="A11" s="4">
        <v>10</v>
      </c>
      <c r="E11" s="4" t="s">
        <v>45</v>
      </c>
      <c r="F11" s="4" t="s">
        <v>18</v>
      </c>
      <c r="G11" s="4" t="s">
        <v>16</v>
      </c>
      <c r="H11" s="4" t="s">
        <v>6</v>
      </c>
      <c r="I11" s="4">
        <v>737</v>
      </c>
      <c r="J11" s="4" t="s">
        <v>46</v>
      </c>
      <c r="K11" s="4" t="s">
        <v>47</v>
      </c>
      <c r="L11" s="4">
        <v>10494</v>
      </c>
      <c r="M11" s="4">
        <v>9757</v>
      </c>
    </row>
    <row r="12" spans="1:13" x14ac:dyDescent="0.3">
      <c r="A12" s="4">
        <v>11</v>
      </c>
      <c r="D12" s="6" t="s">
        <v>48</v>
      </c>
      <c r="E12" s="4" t="s">
        <v>45</v>
      </c>
      <c r="F12" s="4" t="s">
        <v>20</v>
      </c>
      <c r="G12" s="4" t="s">
        <v>16</v>
      </c>
      <c r="H12" s="4" t="s">
        <v>6</v>
      </c>
      <c r="I12" s="4">
        <v>385</v>
      </c>
      <c r="J12" s="4" t="s">
        <v>49</v>
      </c>
      <c r="K12" s="4" t="s">
        <v>50</v>
      </c>
      <c r="L12" s="4">
        <v>9757</v>
      </c>
      <c r="M12" s="4">
        <v>9372</v>
      </c>
    </row>
    <row r="13" spans="1:13" x14ac:dyDescent="0.3">
      <c r="A13" s="4">
        <v>12</v>
      </c>
      <c r="D13" s="6" t="s">
        <v>48</v>
      </c>
      <c r="E13" s="4" t="s">
        <v>45</v>
      </c>
      <c r="F13" s="4" t="s">
        <v>22</v>
      </c>
      <c r="G13" s="4" t="s">
        <v>16</v>
      </c>
      <c r="H13" s="4" t="s">
        <v>6</v>
      </c>
      <c r="I13" s="4">
        <v>440</v>
      </c>
      <c r="J13" s="4" t="s">
        <v>51</v>
      </c>
      <c r="K13" s="4" t="s">
        <v>52</v>
      </c>
      <c r="L13" s="4">
        <v>9372</v>
      </c>
      <c r="M13" s="4">
        <v>8932</v>
      </c>
    </row>
    <row r="14" spans="1:13" x14ac:dyDescent="0.3">
      <c r="A14" s="4">
        <v>13</v>
      </c>
      <c r="E14" s="4" t="s">
        <v>45</v>
      </c>
      <c r="F14" s="4" t="s">
        <v>24</v>
      </c>
      <c r="G14" s="4" t="s">
        <v>16</v>
      </c>
      <c r="H14" s="4" t="s">
        <v>6</v>
      </c>
      <c r="I14" s="4">
        <v>132</v>
      </c>
      <c r="J14" s="4" t="s">
        <v>51</v>
      </c>
      <c r="K14" s="4" t="s">
        <v>52</v>
      </c>
      <c r="L14" s="4">
        <v>8932</v>
      </c>
      <c r="M14" s="4">
        <v>8800</v>
      </c>
    </row>
    <row r="15" spans="1:13" x14ac:dyDescent="0.3">
      <c r="A15" s="4">
        <v>14</v>
      </c>
      <c r="B15" s="5" t="s">
        <v>48</v>
      </c>
      <c r="D15" s="6" t="s">
        <v>48</v>
      </c>
      <c r="E15" s="4" t="s">
        <v>45</v>
      </c>
      <c r="F15" s="4" t="s">
        <v>17</v>
      </c>
      <c r="G15" s="4" t="s">
        <v>16</v>
      </c>
      <c r="H15" s="4" t="s">
        <v>7</v>
      </c>
      <c r="I15" s="4">
        <v>473</v>
      </c>
      <c r="J15" s="4" t="s">
        <v>46</v>
      </c>
      <c r="K15" s="4" t="s">
        <v>47</v>
      </c>
      <c r="L15" s="4">
        <v>9462</v>
      </c>
      <c r="M15" s="4">
        <v>8989</v>
      </c>
    </row>
    <row r="16" spans="1:13" x14ac:dyDescent="0.3">
      <c r="A16" s="4">
        <v>15</v>
      </c>
      <c r="D16" s="6" t="s">
        <v>48</v>
      </c>
      <c r="E16" s="4" t="s">
        <v>45</v>
      </c>
      <c r="F16" s="4" t="s">
        <v>23</v>
      </c>
      <c r="G16" s="4" t="s">
        <v>16</v>
      </c>
      <c r="H16" s="4" t="s">
        <v>7</v>
      </c>
      <c r="I16" s="4">
        <v>1138</v>
      </c>
      <c r="J16" s="4" t="s">
        <v>49</v>
      </c>
      <c r="K16" s="4" t="s">
        <v>50</v>
      </c>
      <c r="L16" s="4">
        <v>8989</v>
      </c>
      <c r="M16" s="4">
        <v>7851</v>
      </c>
    </row>
    <row r="17" spans="1:13" x14ac:dyDescent="0.3">
      <c r="A17" s="7">
        <v>16</v>
      </c>
      <c r="C17" s="8" t="s">
        <v>48</v>
      </c>
      <c r="D17" s="6" t="s">
        <v>48</v>
      </c>
      <c r="E17" s="7" t="s">
        <v>53</v>
      </c>
      <c r="F17" s="7" t="s">
        <v>19</v>
      </c>
      <c r="G17" s="7" t="s">
        <v>16</v>
      </c>
      <c r="H17" s="7" t="s">
        <v>3</v>
      </c>
      <c r="I17" s="7">
        <v>869</v>
      </c>
      <c r="J17" s="7" t="s">
        <v>54</v>
      </c>
      <c r="K17" s="7" t="s">
        <v>47</v>
      </c>
      <c r="L17" s="7">
        <v>7911</v>
      </c>
      <c r="M17" s="7">
        <v>7042</v>
      </c>
    </row>
    <row r="18" spans="1:13" x14ac:dyDescent="0.3">
      <c r="A18" s="7">
        <v>17</v>
      </c>
      <c r="E18" s="7" t="s">
        <v>53</v>
      </c>
      <c r="F18" s="7" t="s">
        <v>21</v>
      </c>
      <c r="G18" s="7" t="s">
        <v>16</v>
      </c>
      <c r="H18" s="7" t="s">
        <v>3</v>
      </c>
      <c r="I18" s="7">
        <v>775</v>
      </c>
      <c r="J18" s="7" t="s">
        <v>54</v>
      </c>
      <c r="K18" s="7" t="s">
        <v>47</v>
      </c>
      <c r="L18" s="7">
        <v>7042</v>
      </c>
      <c r="M18" s="7">
        <v>6267</v>
      </c>
    </row>
    <row r="19" spans="1:13" x14ac:dyDescent="0.3">
      <c r="A19" s="7">
        <v>18</v>
      </c>
      <c r="B19" s="5" t="s">
        <v>48</v>
      </c>
      <c r="E19" s="7" t="s">
        <v>53</v>
      </c>
      <c r="F19" s="7" t="s">
        <v>14</v>
      </c>
      <c r="G19" s="7" t="s">
        <v>16</v>
      </c>
      <c r="H19" s="7" t="s">
        <v>6</v>
      </c>
      <c r="I19" s="7">
        <v>506</v>
      </c>
      <c r="J19" s="7" t="s">
        <v>54</v>
      </c>
      <c r="K19" s="7" t="s">
        <v>47</v>
      </c>
      <c r="L19" s="7">
        <v>8800</v>
      </c>
      <c r="M19" s="7">
        <v>8294</v>
      </c>
    </row>
    <row r="20" spans="1:13" x14ac:dyDescent="0.3">
      <c r="A20" s="7">
        <v>19</v>
      </c>
      <c r="E20" s="7" t="s">
        <v>53</v>
      </c>
      <c r="F20" s="7" t="s">
        <v>18</v>
      </c>
      <c r="G20" s="7" t="s">
        <v>16</v>
      </c>
      <c r="H20" s="7" t="s">
        <v>6</v>
      </c>
      <c r="I20" s="7">
        <v>737</v>
      </c>
      <c r="J20" s="7" t="s">
        <v>54</v>
      </c>
      <c r="K20" s="7" t="s">
        <v>47</v>
      </c>
      <c r="L20" s="7">
        <v>8294</v>
      </c>
      <c r="M20" s="7">
        <v>7557</v>
      </c>
    </row>
    <row r="21" spans="1:13" x14ac:dyDescent="0.3">
      <c r="A21" s="7">
        <v>20</v>
      </c>
      <c r="D21" s="6" t="s">
        <v>48</v>
      </c>
      <c r="E21" s="7" t="s">
        <v>53</v>
      </c>
      <c r="F21" s="7" t="s">
        <v>20</v>
      </c>
      <c r="G21" s="7" t="s">
        <v>16</v>
      </c>
      <c r="H21" s="7" t="s">
        <v>6</v>
      </c>
      <c r="I21" s="7">
        <v>385</v>
      </c>
      <c r="J21" s="7" t="s">
        <v>55</v>
      </c>
      <c r="K21" s="7" t="s">
        <v>50</v>
      </c>
      <c r="L21" s="7">
        <v>7557</v>
      </c>
      <c r="M21" s="7">
        <v>7172</v>
      </c>
    </row>
    <row r="22" spans="1:13" x14ac:dyDescent="0.3">
      <c r="A22" s="7">
        <v>21</v>
      </c>
      <c r="D22" s="6" t="s">
        <v>48</v>
      </c>
      <c r="E22" s="7" t="s">
        <v>53</v>
      </c>
      <c r="F22" s="7" t="s">
        <v>22</v>
      </c>
      <c r="G22" s="7" t="s">
        <v>16</v>
      </c>
      <c r="H22" s="7" t="s">
        <v>6</v>
      </c>
      <c r="I22" s="7">
        <v>440</v>
      </c>
      <c r="J22" s="7" t="s">
        <v>56</v>
      </c>
      <c r="K22" s="7" t="s">
        <v>52</v>
      </c>
      <c r="L22" s="7">
        <v>7172</v>
      </c>
      <c r="M22" s="7">
        <v>6732</v>
      </c>
    </row>
    <row r="23" spans="1:13" x14ac:dyDescent="0.3">
      <c r="A23" s="7">
        <v>22</v>
      </c>
      <c r="E23" s="7" t="s">
        <v>53</v>
      </c>
      <c r="F23" s="7" t="s">
        <v>24</v>
      </c>
      <c r="G23" s="7" t="s">
        <v>16</v>
      </c>
      <c r="H23" s="7" t="s">
        <v>6</v>
      </c>
      <c r="I23" s="7">
        <v>132</v>
      </c>
      <c r="J23" s="7" t="s">
        <v>56</v>
      </c>
      <c r="K23" s="7" t="s">
        <v>52</v>
      </c>
      <c r="L23" s="7">
        <v>6732</v>
      </c>
      <c r="M23" s="7">
        <v>6600</v>
      </c>
    </row>
    <row r="24" spans="1:13" x14ac:dyDescent="0.3">
      <c r="A24" s="7">
        <v>23</v>
      </c>
      <c r="B24" s="5" t="s">
        <v>48</v>
      </c>
      <c r="D24" s="6" t="s">
        <v>48</v>
      </c>
      <c r="E24" s="7" t="s">
        <v>53</v>
      </c>
      <c r="F24" s="7" t="s">
        <v>17</v>
      </c>
      <c r="G24" s="7" t="s">
        <v>16</v>
      </c>
      <c r="H24" s="7" t="s">
        <v>7</v>
      </c>
      <c r="I24" s="7">
        <v>473</v>
      </c>
      <c r="J24" s="7" t="s">
        <v>54</v>
      </c>
      <c r="K24" s="7" t="s">
        <v>47</v>
      </c>
      <c r="L24" s="7">
        <v>7851</v>
      </c>
      <c r="M24" s="7">
        <v>7378</v>
      </c>
    </row>
    <row r="25" spans="1:13" x14ac:dyDescent="0.3">
      <c r="A25" s="7">
        <v>24</v>
      </c>
      <c r="D25" s="6" t="s">
        <v>48</v>
      </c>
      <c r="E25" s="7" t="s">
        <v>53</v>
      </c>
      <c r="F25" s="7" t="s">
        <v>23</v>
      </c>
      <c r="G25" s="7" t="s">
        <v>16</v>
      </c>
      <c r="H25" s="7" t="s">
        <v>7</v>
      </c>
      <c r="I25" s="7">
        <v>1138</v>
      </c>
      <c r="J25" s="7" t="s">
        <v>55</v>
      </c>
      <c r="K25" s="7" t="s">
        <v>50</v>
      </c>
      <c r="L25" s="7">
        <v>7378</v>
      </c>
      <c r="M25" s="7">
        <v>6240</v>
      </c>
    </row>
    <row r="26" spans="1:13" x14ac:dyDescent="0.3">
      <c r="A26" s="9">
        <v>25</v>
      </c>
      <c r="C26" s="8" t="s">
        <v>48</v>
      </c>
      <c r="D26" s="6" t="s">
        <v>48</v>
      </c>
      <c r="E26" s="9" t="s">
        <v>57</v>
      </c>
      <c r="F26" s="9" t="s">
        <v>19</v>
      </c>
      <c r="G26" s="9" t="s">
        <v>16</v>
      </c>
      <c r="H26" s="9" t="s">
        <v>3</v>
      </c>
      <c r="I26" s="9">
        <v>869</v>
      </c>
      <c r="J26" s="9" t="s">
        <v>58</v>
      </c>
      <c r="K26" s="9" t="s">
        <v>47</v>
      </c>
      <c r="L26" s="9">
        <v>6267</v>
      </c>
      <c r="M26" s="9">
        <v>5398</v>
      </c>
    </row>
    <row r="27" spans="1:13" x14ac:dyDescent="0.3">
      <c r="A27" s="9">
        <v>26</v>
      </c>
      <c r="E27" s="9" t="s">
        <v>57</v>
      </c>
      <c r="F27" s="9" t="s">
        <v>21</v>
      </c>
      <c r="G27" s="9" t="s">
        <v>16</v>
      </c>
      <c r="H27" s="9" t="s">
        <v>3</v>
      </c>
      <c r="I27" s="9">
        <v>775</v>
      </c>
      <c r="J27" s="9" t="s">
        <v>58</v>
      </c>
      <c r="K27" s="9" t="s">
        <v>47</v>
      </c>
      <c r="L27" s="9">
        <v>5398</v>
      </c>
      <c r="M27" s="9">
        <v>4623</v>
      </c>
    </row>
    <row r="28" spans="1:13" x14ac:dyDescent="0.3">
      <c r="A28" s="9">
        <v>27</v>
      </c>
      <c r="B28" s="5" t="s">
        <v>48</v>
      </c>
      <c r="E28" s="9" t="s">
        <v>57</v>
      </c>
      <c r="F28" s="9" t="s">
        <v>28</v>
      </c>
      <c r="G28" s="9" t="s">
        <v>27</v>
      </c>
      <c r="H28" s="9" t="s">
        <v>4</v>
      </c>
      <c r="I28" s="9">
        <v>1000</v>
      </c>
      <c r="J28" s="9" t="s">
        <v>58</v>
      </c>
      <c r="K28" s="9" t="s">
        <v>47</v>
      </c>
      <c r="L28" s="9">
        <v>7500</v>
      </c>
      <c r="M28" s="9">
        <v>6500</v>
      </c>
    </row>
    <row r="29" spans="1:13" x14ac:dyDescent="0.3">
      <c r="A29" s="9">
        <v>28</v>
      </c>
      <c r="D29" s="6" t="s">
        <v>48</v>
      </c>
      <c r="E29" s="9" t="s">
        <v>57</v>
      </c>
      <c r="F29" s="9" t="s">
        <v>29</v>
      </c>
      <c r="G29" s="9" t="s">
        <v>27</v>
      </c>
      <c r="H29" s="9" t="s">
        <v>4</v>
      </c>
      <c r="I29" s="9">
        <v>1500</v>
      </c>
      <c r="J29" s="9" t="s">
        <v>59</v>
      </c>
      <c r="K29" s="9" t="s">
        <v>50</v>
      </c>
      <c r="L29" s="9">
        <v>6500</v>
      </c>
      <c r="M29" s="9">
        <v>5000</v>
      </c>
    </row>
    <row r="30" spans="1:13" x14ac:dyDescent="0.3">
      <c r="A30" s="9">
        <v>29</v>
      </c>
      <c r="B30" s="5" t="s">
        <v>48</v>
      </c>
      <c r="D30" s="6" t="s">
        <v>48</v>
      </c>
      <c r="E30" s="9" t="s">
        <v>57</v>
      </c>
      <c r="F30" s="9" t="s">
        <v>29</v>
      </c>
      <c r="G30" s="9" t="s">
        <v>27</v>
      </c>
      <c r="H30" s="9" t="s">
        <v>3</v>
      </c>
      <c r="I30" s="9">
        <v>445</v>
      </c>
      <c r="J30" s="9" t="s">
        <v>60</v>
      </c>
      <c r="K30" s="9" t="s">
        <v>52</v>
      </c>
      <c r="L30" s="9">
        <v>4623</v>
      </c>
      <c r="M30" s="9">
        <v>4178</v>
      </c>
    </row>
    <row r="31" spans="1:13" x14ac:dyDescent="0.3">
      <c r="A31" s="9">
        <v>30</v>
      </c>
      <c r="B31" s="5" t="s">
        <v>48</v>
      </c>
      <c r="D31" s="6" t="s">
        <v>48</v>
      </c>
      <c r="E31" s="9" t="s">
        <v>57</v>
      </c>
      <c r="F31" s="9" t="s">
        <v>25</v>
      </c>
      <c r="G31" s="9" t="s">
        <v>27</v>
      </c>
      <c r="H31" s="9" t="s">
        <v>5</v>
      </c>
      <c r="I31" s="9">
        <v>531</v>
      </c>
      <c r="J31" s="9" t="s">
        <v>58</v>
      </c>
      <c r="K31" s="9" t="s">
        <v>47</v>
      </c>
      <c r="L31" s="9">
        <v>7500</v>
      </c>
      <c r="M31" s="9">
        <v>6969</v>
      </c>
    </row>
    <row r="32" spans="1:13" x14ac:dyDescent="0.3">
      <c r="A32" s="9">
        <v>31</v>
      </c>
      <c r="B32" s="5" t="s">
        <v>48</v>
      </c>
      <c r="D32" s="6" t="s">
        <v>48</v>
      </c>
      <c r="E32" s="9" t="s">
        <v>57</v>
      </c>
      <c r="F32" s="9" t="s">
        <v>25</v>
      </c>
      <c r="G32" s="9" t="s">
        <v>27</v>
      </c>
      <c r="H32" s="9" t="s">
        <v>7</v>
      </c>
      <c r="I32" s="9">
        <v>469</v>
      </c>
      <c r="J32" s="9" t="s">
        <v>60</v>
      </c>
      <c r="K32" s="9" t="s">
        <v>52</v>
      </c>
      <c r="L32" s="9">
        <v>6240</v>
      </c>
      <c r="M32" s="9">
        <v>5771</v>
      </c>
    </row>
    <row r="33" spans="1:13" x14ac:dyDescent="0.3">
      <c r="A33" s="9">
        <v>32</v>
      </c>
      <c r="B33" s="5" t="s">
        <v>48</v>
      </c>
      <c r="D33" s="6" t="s">
        <v>48</v>
      </c>
      <c r="E33" s="9" t="s">
        <v>57</v>
      </c>
      <c r="F33" s="9" t="s">
        <v>30</v>
      </c>
      <c r="G33" s="9" t="s">
        <v>27</v>
      </c>
      <c r="H33" s="9" t="s">
        <v>5</v>
      </c>
      <c r="I33" s="9">
        <v>1969</v>
      </c>
      <c r="J33" s="9" t="s">
        <v>59</v>
      </c>
      <c r="K33" s="9" t="s">
        <v>50</v>
      </c>
      <c r="L33" s="9">
        <v>6969</v>
      </c>
      <c r="M33" s="9">
        <v>5000</v>
      </c>
    </row>
    <row r="34" spans="1:13" x14ac:dyDescent="0.3">
      <c r="A34" s="9">
        <v>33</v>
      </c>
      <c r="B34" s="5" t="s">
        <v>48</v>
      </c>
      <c r="D34" s="6" t="s">
        <v>48</v>
      </c>
      <c r="E34" s="9" t="s">
        <v>57</v>
      </c>
      <c r="F34" s="9" t="s">
        <v>14</v>
      </c>
      <c r="G34" s="9" t="s">
        <v>16</v>
      </c>
      <c r="H34" s="9" t="s">
        <v>6</v>
      </c>
      <c r="I34" s="9">
        <v>506</v>
      </c>
      <c r="J34" s="9" t="s">
        <v>58</v>
      </c>
      <c r="K34" s="9" t="s">
        <v>47</v>
      </c>
      <c r="L34" s="9">
        <v>6600</v>
      </c>
      <c r="M34" s="9">
        <v>6094</v>
      </c>
    </row>
    <row r="35" spans="1:13" x14ac:dyDescent="0.3">
      <c r="A35" s="9">
        <v>34</v>
      </c>
      <c r="E35" s="9" t="s">
        <v>57</v>
      </c>
      <c r="F35" s="9" t="s">
        <v>18</v>
      </c>
      <c r="G35" s="9" t="s">
        <v>16</v>
      </c>
      <c r="H35" s="9" t="s">
        <v>6</v>
      </c>
      <c r="I35" s="9">
        <v>737</v>
      </c>
      <c r="J35" s="9" t="s">
        <v>58</v>
      </c>
      <c r="K35" s="9" t="s">
        <v>47</v>
      </c>
      <c r="L35" s="9">
        <v>6094</v>
      </c>
      <c r="M35" s="9">
        <v>5357</v>
      </c>
    </row>
    <row r="36" spans="1:13" x14ac:dyDescent="0.3">
      <c r="A36" s="9">
        <v>35</v>
      </c>
      <c r="D36" s="6" t="s">
        <v>48</v>
      </c>
      <c r="E36" s="9" t="s">
        <v>57</v>
      </c>
      <c r="F36" s="9" t="s">
        <v>20</v>
      </c>
      <c r="G36" s="9" t="s">
        <v>16</v>
      </c>
      <c r="H36" s="9" t="s">
        <v>6</v>
      </c>
      <c r="I36" s="9">
        <v>385</v>
      </c>
      <c r="J36" s="9" t="s">
        <v>59</v>
      </c>
      <c r="K36" s="9" t="s">
        <v>50</v>
      </c>
      <c r="L36" s="9">
        <v>5357</v>
      </c>
      <c r="M36" s="9">
        <v>4972</v>
      </c>
    </row>
    <row r="37" spans="1:13" x14ac:dyDescent="0.3">
      <c r="A37" s="9">
        <v>36</v>
      </c>
      <c r="D37" s="6" t="s">
        <v>48</v>
      </c>
      <c r="E37" s="9" t="s">
        <v>57</v>
      </c>
      <c r="F37" s="9" t="s">
        <v>22</v>
      </c>
      <c r="G37" s="9" t="s">
        <v>16</v>
      </c>
      <c r="H37" s="9" t="s">
        <v>6</v>
      </c>
      <c r="I37" s="9">
        <v>440</v>
      </c>
      <c r="J37" s="9" t="s">
        <v>60</v>
      </c>
      <c r="K37" s="9" t="s">
        <v>52</v>
      </c>
      <c r="L37" s="9">
        <v>4972</v>
      </c>
      <c r="M37" s="9">
        <v>4532</v>
      </c>
    </row>
    <row r="38" spans="1:13" x14ac:dyDescent="0.3">
      <c r="A38" s="9">
        <v>37</v>
      </c>
      <c r="E38" s="9" t="s">
        <v>57</v>
      </c>
      <c r="F38" s="9" t="s">
        <v>24</v>
      </c>
      <c r="G38" s="9" t="s">
        <v>16</v>
      </c>
      <c r="H38" s="9" t="s">
        <v>6</v>
      </c>
      <c r="I38" s="9">
        <v>132</v>
      </c>
      <c r="J38" s="9" t="s">
        <v>60</v>
      </c>
      <c r="K38" s="9" t="s">
        <v>52</v>
      </c>
      <c r="L38" s="9">
        <v>4532</v>
      </c>
      <c r="M38" s="9">
        <v>4400</v>
      </c>
    </row>
    <row r="39" spans="1:13" x14ac:dyDescent="0.3">
      <c r="A39" s="9">
        <v>38</v>
      </c>
      <c r="B39" s="5" t="s">
        <v>48</v>
      </c>
      <c r="D39" s="6" t="s">
        <v>48</v>
      </c>
      <c r="E39" s="9" t="s">
        <v>57</v>
      </c>
      <c r="F39" s="9" t="s">
        <v>17</v>
      </c>
      <c r="G39" s="9" t="s">
        <v>16</v>
      </c>
      <c r="H39" s="9" t="s">
        <v>7</v>
      </c>
      <c r="I39" s="9">
        <v>473</v>
      </c>
      <c r="J39" s="9" t="s">
        <v>58</v>
      </c>
      <c r="K39" s="9" t="s">
        <v>47</v>
      </c>
      <c r="L39" s="9">
        <v>5771</v>
      </c>
      <c r="M39" s="9">
        <v>5298</v>
      </c>
    </row>
    <row r="40" spans="1:13" x14ac:dyDescent="0.3">
      <c r="A40" s="9">
        <v>39</v>
      </c>
      <c r="D40" s="6" t="s">
        <v>48</v>
      </c>
      <c r="E40" s="9" t="s">
        <v>57</v>
      </c>
      <c r="F40" s="9" t="s">
        <v>23</v>
      </c>
      <c r="G40" s="9" t="s">
        <v>16</v>
      </c>
      <c r="H40" s="9" t="s">
        <v>7</v>
      </c>
      <c r="I40" s="9">
        <v>1138</v>
      </c>
      <c r="J40" s="9" t="s">
        <v>59</v>
      </c>
      <c r="K40" s="9" t="s">
        <v>50</v>
      </c>
      <c r="L40" s="9">
        <v>5298</v>
      </c>
      <c r="M40" s="9">
        <v>4160</v>
      </c>
    </row>
    <row r="41" spans="1:13" x14ac:dyDescent="0.3">
      <c r="A41" s="10">
        <v>40</v>
      </c>
      <c r="C41" s="8" t="s">
        <v>48</v>
      </c>
      <c r="D41" s="6" t="s">
        <v>48</v>
      </c>
      <c r="E41" s="10" t="s">
        <v>61</v>
      </c>
      <c r="F41" s="10" t="s">
        <v>19</v>
      </c>
      <c r="G41" s="10" t="s">
        <v>16</v>
      </c>
      <c r="H41" s="10" t="s">
        <v>3</v>
      </c>
      <c r="I41" s="10">
        <v>869</v>
      </c>
      <c r="J41" s="10" t="s">
        <v>62</v>
      </c>
      <c r="K41" s="10" t="s">
        <v>47</v>
      </c>
      <c r="L41" s="10">
        <v>4178</v>
      </c>
      <c r="M41" s="10">
        <v>3309</v>
      </c>
    </row>
    <row r="42" spans="1:13" x14ac:dyDescent="0.3">
      <c r="A42" s="10">
        <v>41</v>
      </c>
      <c r="E42" s="10" t="s">
        <v>61</v>
      </c>
      <c r="F42" s="10" t="s">
        <v>21</v>
      </c>
      <c r="G42" s="10" t="s">
        <v>16</v>
      </c>
      <c r="H42" s="10" t="s">
        <v>3</v>
      </c>
      <c r="I42" s="10">
        <v>775</v>
      </c>
      <c r="J42" s="10" t="s">
        <v>62</v>
      </c>
      <c r="K42" s="10" t="s">
        <v>47</v>
      </c>
      <c r="L42" s="10">
        <v>3309</v>
      </c>
      <c r="M42" s="10">
        <v>2534</v>
      </c>
    </row>
    <row r="43" spans="1:13" x14ac:dyDescent="0.3">
      <c r="A43" s="10">
        <v>42</v>
      </c>
      <c r="B43" s="5" t="s">
        <v>48</v>
      </c>
      <c r="E43" s="10" t="s">
        <v>61</v>
      </c>
      <c r="F43" s="10" t="s">
        <v>28</v>
      </c>
      <c r="G43" s="10" t="s">
        <v>27</v>
      </c>
      <c r="H43" s="10" t="s">
        <v>4</v>
      </c>
      <c r="I43" s="10">
        <v>1000</v>
      </c>
      <c r="J43" s="10" t="s">
        <v>62</v>
      </c>
      <c r="K43" s="10" t="s">
        <v>47</v>
      </c>
      <c r="L43" s="10">
        <v>5000</v>
      </c>
      <c r="M43" s="10">
        <v>4000</v>
      </c>
    </row>
    <row r="44" spans="1:13" x14ac:dyDescent="0.3">
      <c r="A44" s="10">
        <v>43</v>
      </c>
      <c r="D44" s="6" t="s">
        <v>48</v>
      </c>
      <c r="E44" s="10" t="s">
        <v>61</v>
      </c>
      <c r="F44" s="10" t="s">
        <v>29</v>
      </c>
      <c r="G44" s="10" t="s">
        <v>27</v>
      </c>
      <c r="H44" s="10" t="s">
        <v>4</v>
      </c>
      <c r="I44" s="10">
        <v>1500</v>
      </c>
      <c r="J44" s="10" t="s">
        <v>63</v>
      </c>
      <c r="K44" s="10" t="s">
        <v>50</v>
      </c>
      <c r="L44" s="10">
        <v>4000</v>
      </c>
      <c r="M44" s="10">
        <v>2500</v>
      </c>
    </row>
    <row r="45" spans="1:13" x14ac:dyDescent="0.3">
      <c r="A45" s="10">
        <v>44</v>
      </c>
      <c r="B45" s="5" t="s">
        <v>48</v>
      </c>
      <c r="D45" s="6" t="s">
        <v>48</v>
      </c>
      <c r="E45" s="10" t="s">
        <v>61</v>
      </c>
      <c r="F45" s="10" t="s">
        <v>29</v>
      </c>
      <c r="G45" s="10" t="s">
        <v>27</v>
      </c>
      <c r="H45" s="10" t="s">
        <v>3</v>
      </c>
      <c r="I45" s="10">
        <v>445</v>
      </c>
      <c r="J45" s="10" t="s">
        <v>64</v>
      </c>
      <c r="K45" s="10" t="s">
        <v>52</v>
      </c>
      <c r="L45" s="10">
        <v>2534</v>
      </c>
      <c r="M45" s="10">
        <v>2089</v>
      </c>
    </row>
    <row r="46" spans="1:13" x14ac:dyDescent="0.3">
      <c r="A46" s="10">
        <v>45</v>
      </c>
      <c r="B46" s="5" t="s">
        <v>48</v>
      </c>
      <c r="D46" s="6" t="s">
        <v>48</v>
      </c>
      <c r="E46" s="10" t="s">
        <v>61</v>
      </c>
      <c r="F46" s="10" t="s">
        <v>25</v>
      </c>
      <c r="G46" s="10" t="s">
        <v>27</v>
      </c>
      <c r="H46" s="10" t="s">
        <v>5</v>
      </c>
      <c r="I46" s="10">
        <v>531</v>
      </c>
      <c r="J46" s="10" t="s">
        <v>62</v>
      </c>
      <c r="K46" s="10" t="s">
        <v>47</v>
      </c>
      <c r="L46" s="10">
        <v>5000</v>
      </c>
      <c r="M46" s="10">
        <v>4469</v>
      </c>
    </row>
    <row r="47" spans="1:13" x14ac:dyDescent="0.3">
      <c r="A47" s="10">
        <v>46</v>
      </c>
      <c r="B47" s="5" t="s">
        <v>48</v>
      </c>
      <c r="D47" s="6" t="s">
        <v>48</v>
      </c>
      <c r="E47" s="10" t="s">
        <v>61</v>
      </c>
      <c r="F47" s="10" t="s">
        <v>25</v>
      </c>
      <c r="G47" s="10" t="s">
        <v>27</v>
      </c>
      <c r="H47" s="10" t="s">
        <v>7</v>
      </c>
      <c r="I47" s="10">
        <v>469</v>
      </c>
      <c r="J47" s="10" t="s">
        <v>64</v>
      </c>
      <c r="K47" s="10" t="s">
        <v>52</v>
      </c>
      <c r="L47" s="10">
        <v>4160</v>
      </c>
      <c r="M47" s="10">
        <v>3691</v>
      </c>
    </row>
    <row r="48" spans="1:13" x14ac:dyDescent="0.3">
      <c r="A48" s="10">
        <v>47</v>
      </c>
      <c r="B48" s="5" t="s">
        <v>48</v>
      </c>
      <c r="D48" s="6" t="s">
        <v>48</v>
      </c>
      <c r="E48" s="10" t="s">
        <v>61</v>
      </c>
      <c r="F48" s="10" t="s">
        <v>30</v>
      </c>
      <c r="G48" s="10" t="s">
        <v>27</v>
      </c>
      <c r="H48" s="10" t="s">
        <v>5</v>
      </c>
      <c r="I48" s="10">
        <v>1969</v>
      </c>
      <c r="J48" s="10" t="s">
        <v>63</v>
      </c>
      <c r="K48" s="10" t="s">
        <v>50</v>
      </c>
      <c r="L48" s="10">
        <v>4469</v>
      </c>
      <c r="M48" s="10">
        <v>2500</v>
      </c>
    </row>
    <row r="49" spans="1:13" x14ac:dyDescent="0.3">
      <c r="A49" s="10">
        <v>48</v>
      </c>
      <c r="B49" s="5" t="s">
        <v>48</v>
      </c>
      <c r="D49" s="6" t="s">
        <v>48</v>
      </c>
      <c r="E49" s="10" t="s">
        <v>61</v>
      </c>
      <c r="F49" s="10" t="s">
        <v>14</v>
      </c>
      <c r="G49" s="10" t="s">
        <v>16</v>
      </c>
      <c r="H49" s="10" t="s">
        <v>6</v>
      </c>
      <c r="I49" s="10">
        <v>506</v>
      </c>
      <c r="J49" s="10" t="s">
        <v>62</v>
      </c>
      <c r="K49" s="10" t="s">
        <v>47</v>
      </c>
      <c r="L49" s="10">
        <v>4400</v>
      </c>
      <c r="M49" s="10">
        <v>3894</v>
      </c>
    </row>
    <row r="50" spans="1:13" x14ac:dyDescent="0.3">
      <c r="A50" s="10">
        <v>49</v>
      </c>
      <c r="E50" s="10" t="s">
        <v>61</v>
      </c>
      <c r="F50" s="10" t="s">
        <v>18</v>
      </c>
      <c r="G50" s="10" t="s">
        <v>16</v>
      </c>
      <c r="H50" s="10" t="s">
        <v>6</v>
      </c>
      <c r="I50" s="10">
        <v>737</v>
      </c>
      <c r="J50" s="10" t="s">
        <v>62</v>
      </c>
      <c r="K50" s="10" t="s">
        <v>47</v>
      </c>
      <c r="L50" s="10">
        <v>3894</v>
      </c>
      <c r="M50" s="10">
        <v>3157</v>
      </c>
    </row>
    <row r="51" spans="1:13" x14ac:dyDescent="0.3">
      <c r="A51" s="10">
        <v>50</v>
      </c>
      <c r="D51" s="6" t="s">
        <v>48</v>
      </c>
      <c r="E51" s="10" t="s">
        <v>61</v>
      </c>
      <c r="F51" s="10" t="s">
        <v>20</v>
      </c>
      <c r="G51" s="10" t="s">
        <v>16</v>
      </c>
      <c r="H51" s="10" t="s">
        <v>6</v>
      </c>
      <c r="I51" s="10">
        <v>385</v>
      </c>
      <c r="J51" s="10" t="s">
        <v>63</v>
      </c>
      <c r="K51" s="10" t="s">
        <v>50</v>
      </c>
      <c r="L51" s="10">
        <v>3157</v>
      </c>
      <c r="M51" s="10">
        <v>2772</v>
      </c>
    </row>
    <row r="52" spans="1:13" x14ac:dyDescent="0.3">
      <c r="A52" s="10">
        <v>51</v>
      </c>
      <c r="D52" s="6" t="s">
        <v>48</v>
      </c>
      <c r="E52" s="10" t="s">
        <v>61</v>
      </c>
      <c r="F52" s="10" t="s">
        <v>22</v>
      </c>
      <c r="G52" s="10" t="s">
        <v>16</v>
      </c>
      <c r="H52" s="10" t="s">
        <v>6</v>
      </c>
      <c r="I52" s="10">
        <v>440</v>
      </c>
      <c r="J52" s="10" t="s">
        <v>64</v>
      </c>
      <c r="K52" s="10" t="s">
        <v>52</v>
      </c>
      <c r="L52" s="10">
        <v>2772</v>
      </c>
      <c r="M52" s="10">
        <v>2332</v>
      </c>
    </row>
    <row r="53" spans="1:13" x14ac:dyDescent="0.3">
      <c r="A53" s="10">
        <v>52</v>
      </c>
      <c r="E53" s="10" t="s">
        <v>61</v>
      </c>
      <c r="F53" s="10" t="s">
        <v>24</v>
      </c>
      <c r="G53" s="10" t="s">
        <v>16</v>
      </c>
      <c r="H53" s="10" t="s">
        <v>6</v>
      </c>
      <c r="I53" s="10">
        <v>132</v>
      </c>
      <c r="J53" s="10" t="s">
        <v>64</v>
      </c>
      <c r="K53" s="10" t="s">
        <v>52</v>
      </c>
      <c r="L53" s="10">
        <v>2332</v>
      </c>
      <c r="M53" s="10">
        <v>2200</v>
      </c>
    </row>
    <row r="54" spans="1:13" x14ac:dyDescent="0.3">
      <c r="A54" s="10">
        <v>53</v>
      </c>
      <c r="B54" s="5" t="s">
        <v>48</v>
      </c>
      <c r="D54" s="6" t="s">
        <v>48</v>
      </c>
      <c r="E54" s="10" t="s">
        <v>61</v>
      </c>
      <c r="F54" s="10" t="s">
        <v>17</v>
      </c>
      <c r="G54" s="10" t="s">
        <v>16</v>
      </c>
      <c r="H54" s="10" t="s">
        <v>7</v>
      </c>
      <c r="I54" s="10">
        <v>473</v>
      </c>
      <c r="J54" s="10" t="s">
        <v>62</v>
      </c>
      <c r="K54" s="10" t="s">
        <v>47</v>
      </c>
      <c r="L54" s="10">
        <v>3691</v>
      </c>
      <c r="M54" s="10">
        <v>3218</v>
      </c>
    </row>
    <row r="55" spans="1:13" x14ac:dyDescent="0.3">
      <c r="A55" s="10">
        <v>54</v>
      </c>
      <c r="D55" s="6" t="s">
        <v>48</v>
      </c>
      <c r="E55" s="10" t="s">
        <v>61</v>
      </c>
      <c r="F55" s="10" t="s">
        <v>23</v>
      </c>
      <c r="G55" s="10" t="s">
        <v>16</v>
      </c>
      <c r="H55" s="10" t="s">
        <v>7</v>
      </c>
      <c r="I55" s="10">
        <v>1138</v>
      </c>
      <c r="J55" s="10" t="s">
        <v>63</v>
      </c>
      <c r="K55" s="10" t="s">
        <v>50</v>
      </c>
      <c r="L55" s="10">
        <v>3218</v>
      </c>
      <c r="M55" s="10">
        <v>2080</v>
      </c>
    </row>
    <row r="56" spans="1:13" x14ac:dyDescent="0.3">
      <c r="A56" s="11">
        <v>55</v>
      </c>
      <c r="C56" s="8" t="s">
        <v>48</v>
      </c>
      <c r="D56" s="6" t="s">
        <v>48</v>
      </c>
      <c r="E56" s="11" t="s">
        <v>65</v>
      </c>
      <c r="F56" s="11" t="s">
        <v>19</v>
      </c>
      <c r="G56" s="11" t="s">
        <v>16</v>
      </c>
      <c r="H56" s="11" t="s">
        <v>3</v>
      </c>
      <c r="I56" s="11">
        <v>869</v>
      </c>
      <c r="J56" s="11" t="s">
        <v>66</v>
      </c>
      <c r="K56" s="11" t="s">
        <v>47</v>
      </c>
      <c r="L56" s="11">
        <v>2089</v>
      </c>
      <c r="M56" s="11">
        <v>1220</v>
      </c>
    </row>
    <row r="57" spans="1:13" x14ac:dyDescent="0.3">
      <c r="A57" s="11">
        <v>56</v>
      </c>
      <c r="E57" s="11" t="s">
        <v>65</v>
      </c>
      <c r="F57" s="11" t="s">
        <v>21</v>
      </c>
      <c r="G57" s="11" t="s">
        <v>16</v>
      </c>
      <c r="H57" s="11" t="s">
        <v>3</v>
      </c>
      <c r="I57" s="11">
        <v>775</v>
      </c>
      <c r="J57" s="11" t="s">
        <v>66</v>
      </c>
      <c r="K57" s="11" t="s">
        <v>47</v>
      </c>
      <c r="L57" s="11">
        <v>1220</v>
      </c>
      <c r="M57" s="11">
        <v>445</v>
      </c>
    </row>
    <row r="58" spans="1:13" x14ac:dyDescent="0.3">
      <c r="A58" s="11">
        <v>57</v>
      </c>
      <c r="B58" s="5" t="s">
        <v>48</v>
      </c>
      <c r="E58" s="11" t="s">
        <v>65</v>
      </c>
      <c r="F58" s="11" t="s">
        <v>28</v>
      </c>
      <c r="G58" s="11" t="s">
        <v>27</v>
      </c>
      <c r="H58" s="11" t="s">
        <v>4</v>
      </c>
      <c r="I58" s="11">
        <v>1000</v>
      </c>
      <c r="J58" s="11" t="s">
        <v>66</v>
      </c>
      <c r="K58" s="11" t="s">
        <v>47</v>
      </c>
      <c r="L58" s="11">
        <v>2500</v>
      </c>
      <c r="M58" s="11">
        <v>1500</v>
      </c>
    </row>
    <row r="59" spans="1:13" x14ac:dyDescent="0.3">
      <c r="A59" s="11">
        <v>58</v>
      </c>
      <c r="D59" s="6" t="s">
        <v>48</v>
      </c>
      <c r="E59" s="11" t="s">
        <v>65</v>
      </c>
      <c r="F59" s="11" t="s">
        <v>29</v>
      </c>
      <c r="G59" s="11" t="s">
        <v>27</v>
      </c>
      <c r="H59" s="11" t="s">
        <v>4</v>
      </c>
      <c r="I59" s="11">
        <v>1500</v>
      </c>
      <c r="J59" s="11" t="s">
        <v>67</v>
      </c>
      <c r="K59" s="11" t="s">
        <v>50</v>
      </c>
      <c r="L59" s="11">
        <v>1500</v>
      </c>
      <c r="M59" s="11">
        <v>0</v>
      </c>
    </row>
    <row r="60" spans="1:13" x14ac:dyDescent="0.3">
      <c r="A60" s="11">
        <v>59</v>
      </c>
      <c r="B60" s="5" t="s">
        <v>48</v>
      </c>
      <c r="D60" s="6" t="s">
        <v>48</v>
      </c>
      <c r="E60" s="11" t="s">
        <v>65</v>
      </c>
      <c r="F60" s="11" t="s">
        <v>29</v>
      </c>
      <c r="G60" s="11" t="s">
        <v>27</v>
      </c>
      <c r="H60" s="11" t="s">
        <v>3</v>
      </c>
      <c r="I60" s="11">
        <v>445</v>
      </c>
      <c r="J60" s="11" t="s">
        <v>68</v>
      </c>
      <c r="K60" s="11" t="s">
        <v>52</v>
      </c>
      <c r="L60" s="11">
        <v>445</v>
      </c>
      <c r="M60" s="11">
        <v>0</v>
      </c>
    </row>
    <row r="61" spans="1:13" x14ac:dyDescent="0.3">
      <c r="A61" s="11">
        <v>60</v>
      </c>
      <c r="B61" s="5" t="s">
        <v>48</v>
      </c>
      <c r="D61" s="6" t="s">
        <v>48</v>
      </c>
      <c r="E61" s="11" t="s">
        <v>65</v>
      </c>
      <c r="F61" s="11" t="s">
        <v>25</v>
      </c>
      <c r="G61" s="11" t="s">
        <v>27</v>
      </c>
      <c r="H61" s="11" t="s">
        <v>5</v>
      </c>
      <c r="I61" s="11">
        <v>531</v>
      </c>
      <c r="J61" s="11" t="s">
        <v>66</v>
      </c>
      <c r="K61" s="11" t="s">
        <v>47</v>
      </c>
      <c r="L61" s="11">
        <v>2500</v>
      </c>
      <c r="M61" s="11">
        <v>1969</v>
      </c>
    </row>
    <row r="62" spans="1:13" x14ac:dyDescent="0.3">
      <c r="A62" s="11">
        <v>61</v>
      </c>
      <c r="B62" s="5" t="s">
        <v>48</v>
      </c>
      <c r="D62" s="6" t="s">
        <v>48</v>
      </c>
      <c r="E62" s="11" t="s">
        <v>65</v>
      </c>
      <c r="F62" s="11" t="s">
        <v>25</v>
      </c>
      <c r="G62" s="11" t="s">
        <v>27</v>
      </c>
      <c r="H62" s="11" t="s">
        <v>7</v>
      </c>
      <c r="I62" s="11">
        <v>469</v>
      </c>
      <c r="J62" s="11" t="s">
        <v>68</v>
      </c>
      <c r="K62" s="11" t="s">
        <v>52</v>
      </c>
      <c r="L62" s="11">
        <v>2080</v>
      </c>
      <c r="M62" s="11">
        <v>1611</v>
      </c>
    </row>
    <row r="63" spans="1:13" x14ac:dyDescent="0.3">
      <c r="A63" s="11">
        <v>62</v>
      </c>
      <c r="B63" s="5" t="s">
        <v>48</v>
      </c>
      <c r="D63" s="6" t="s">
        <v>48</v>
      </c>
      <c r="E63" s="11" t="s">
        <v>65</v>
      </c>
      <c r="F63" s="11" t="s">
        <v>30</v>
      </c>
      <c r="G63" s="11" t="s">
        <v>27</v>
      </c>
      <c r="H63" s="11" t="s">
        <v>5</v>
      </c>
      <c r="I63" s="11">
        <v>1969</v>
      </c>
      <c r="J63" s="11" t="s">
        <v>67</v>
      </c>
      <c r="K63" s="11" t="s">
        <v>50</v>
      </c>
      <c r="L63" s="11">
        <v>1969</v>
      </c>
      <c r="M63" s="11">
        <v>0</v>
      </c>
    </row>
    <row r="64" spans="1:13" x14ac:dyDescent="0.3">
      <c r="A64" s="11">
        <v>63</v>
      </c>
      <c r="B64" s="5" t="s">
        <v>48</v>
      </c>
      <c r="D64" s="6" t="s">
        <v>48</v>
      </c>
      <c r="E64" s="11" t="s">
        <v>65</v>
      </c>
      <c r="F64" s="11" t="s">
        <v>14</v>
      </c>
      <c r="G64" s="11" t="s">
        <v>16</v>
      </c>
      <c r="H64" s="11" t="s">
        <v>6</v>
      </c>
      <c r="I64" s="11">
        <v>506</v>
      </c>
      <c r="J64" s="11" t="s">
        <v>66</v>
      </c>
      <c r="K64" s="11" t="s">
        <v>47</v>
      </c>
      <c r="L64" s="11">
        <v>2200</v>
      </c>
      <c r="M64" s="11">
        <v>1694</v>
      </c>
    </row>
    <row r="65" spans="1:13" x14ac:dyDescent="0.3">
      <c r="A65" s="11">
        <v>64</v>
      </c>
      <c r="E65" s="11" t="s">
        <v>65</v>
      </c>
      <c r="F65" s="11" t="s">
        <v>18</v>
      </c>
      <c r="G65" s="11" t="s">
        <v>16</v>
      </c>
      <c r="H65" s="11" t="s">
        <v>6</v>
      </c>
      <c r="I65" s="11">
        <v>737</v>
      </c>
      <c r="J65" s="11" t="s">
        <v>66</v>
      </c>
      <c r="K65" s="11" t="s">
        <v>47</v>
      </c>
      <c r="L65" s="11">
        <v>1694</v>
      </c>
      <c r="M65" s="11">
        <v>957</v>
      </c>
    </row>
    <row r="66" spans="1:13" x14ac:dyDescent="0.3">
      <c r="A66" s="11">
        <v>65</v>
      </c>
      <c r="D66" s="6" t="s">
        <v>48</v>
      </c>
      <c r="E66" s="11" t="s">
        <v>65</v>
      </c>
      <c r="F66" s="11" t="s">
        <v>20</v>
      </c>
      <c r="G66" s="11" t="s">
        <v>16</v>
      </c>
      <c r="H66" s="11" t="s">
        <v>6</v>
      </c>
      <c r="I66" s="11">
        <v>385</v>
      </c>
      <c r="J66" s="11" t="s">
        <v>67</v>
      </c>
      <c r="K66" s="11" t="s">
        <v>50</v>
      </c>
      <c r="L66" s="11">
        <v>957</v>
      </c>
      <c r="M66" s="11">
        <v>572</v>
      </c>
    </row>
    <row r="67" spans="1:13" x14ac:dyDescent="0.3">
      <c r="A67" s="11">
        <v>66</v>
      </c>
      <c r="D67" s="6" t="s">
        <v>48</v>
      </c>
      <c r="E67" s="11" t="s">
        <v>65</v>
      </c>
      <c r="F67" s="11" t="s">
        <v>22</v>
      </c>
      <c r="G67" s="11" t="s">
        <v>16</v>
      </c>
      <c r="H67" s="11" t="s">
        <v>6</v>
      </c>
      <c r="I67" s="11">
        <v>440</v>
      </c>
      <c r="J67" s="11" t="s">
        <v>68</v>
      </c>
      <c r="K67" s="11" t="s">
        <v>52</v>
      </c>
      <c r="L67" s="11">
        <v>572</v>
      </c>
      <c r="M67" s="11">
        <v>132</v>
      </c>
    </row>
    <row r="68" spans="1:13" x14ac:dyDescent="0.3">
      <c r="A68" s="11">
        <v>67</v>
      </c>
      <c r="E68" s="11" t="s">
        <v>65</v>
      </c>
      <c r="F68" s="11" t="s">
        <v>24</v>
      </c>
      <c r="G68" s="11" t="s">
        <v>16</v>
      </c>
      <c r="H68" s="11" t="s">
        <v>6</v>
      </c>
      <c r="I68" s="11">
        <v>132</v>
      </c>
      <c r="J68" s="11" t="s">
        <v>68</v>
      </c>
      <c r="K68" s="11" t="s">
        <v>52</v>
      </c>
      <c r="L68" s="11">
        <v>132</v>
      </c>
      <c r="M68" s="11">
        <v>0</v>
      </c>
    </row>
    <row r="69" spans="1:13" x14ac:dyDescent="0.3">
      <c r="A69" s="11">
        <v>68</v>
      </c>
      <c r="B69" s="5" t="s">
        <v>48</v>
      </c>
      <c r="D69" s="6" t="s">
        <v>48</v>
      </c>
      <c r="E69" s="11" t="s">
        <v>65</v>
      </c>
      <c r="F69" s="11" t="s">
        <v>17</v>
      </c>
      <c r="G69" s="11" t="s">
        <v>16</v>
      </c>
      <c r="H69" s="11" t="s">
        <v>7</v>
      </c>
      <c r="I69" s="11">
        <v>473</v>
      </c>
      <c r="J69" s="11" t="s">
        <v>66</v>
      </c>
      <c r="K69" s="11" t="s">
        <v>47</v>
      </c>
      <c r="L69" s="11">
        <v>1611</v>
      </c>
      <c r="M69" s="11">
        <v>1138</v>
      </c>
    </row>
    <row r="70" spans="1:13" x14ac:dyDescent="0.3">
      <c r="A70" s="11">
        <v>69</v>
      </c>
      <c r="D70" s="6" t="s">
        <v>48</v>
      </c>
      <c r="E70" s="11" t="s">
        <v>65</v>
      </c>
      <c r="F70" s="11" t="s">
        <v>23</v>
      </c>
      <c r="G70" s="11" t="s">
        <v>16</v>
      </c>
      <c r="H70" s="11" t="s">
        <v>7</v>
      </c>
      <c r="I70" s="11">
        <v>1138</v>
      </c>
      <c r="J70" s="11" t="s">
        <v>67</v>
      </c>
      <c r="K70" s="11" t="s">
        <v>50</v>
      </c>
      <c r="L70" s="11">
        <v>1138</v>
      </c>
      <c r="M70" s="11">
        <v>0</v>
      </c>
    </row>
    <row r="76" spans="1:13" x14ac:dyDescent="0.3">
      <c r="I76" s="4">
        <v>869</v>
      </c>
      <c r="J76" s="7">
        <v>869</v>
      </c>
      <c r="K76" s="9">
        <v>869</v>
      </c>
      <c r="L76" s="10">
        <v>869</v>
      </c>
      <c r="M76" s="11">
        <v>869</v>
      </c>
    </row>
    <row r="77" spans="1:13" x14ac:dyDescent="0.3">
      <c r="I77" s="4">
        <v>775</v>
      </c>
      <c r="J77" s="7">
        <v>775</v>
      </c>
      <c r="K77" s="9">
        <v>775</v>
      </c>
      <c r="L77" s="10">
        <v>775</v>
      </c>
      <c r="M77" s="11">
        <v>775</v>
      </c>
    </row>
    <row r="78" spans="1:13" x14ac:dyDescent="0.3">
      <c r="I78" s="4">
        <v>1000</v>
      </c>
      <c r="K78" s="9">
        <v>1000</v>
      </c>
      <c r="L78" s="10">
        <v>1000</v>
      </c>
      <c r="M78" s="11">
        <v>1000</v>
      </c>
    </row>
    <row r="79" spans="1:13" x14ac:dyDescent="0.3">
      <c r="I79" s="4">
        <v>1500</v>
      </c>
      <c r="K79" s="9">
        <v>1500</v>
      </c>
      <c r="L79" s="10">
        <v>1500</v>
      </c>
      <c r="M79" s="11">
        <v>1500</v>
      </c>
    </row>
    <row r="80" spans="1:13" x14ac:dyDescent="0.3">
      <c r="I80" s="4">
        <v>445</v>
      </c>
      <c r="K80" s="9">
        <v>445</v>
      </c>
      <c r="L80" s="10">
        <v>445</v>
      </c>
      <c r="M80" s="11">
        <v>445</v>
      </c>
    </row>
    <row r="81" spans="9:13" x14ac:dyDescent="0.3">
      <c r="I81" s="4">
        <v>531</v>
      </c>
      <c r="K81" s="9">
        <v>531</v>
      </c>
      <c r="L81" s="10">
        <v>531</v>
      </c>
      <c r="M81" s="11">
        <v>531</v>
      </c>
    </row>
    <row r="82" spans="9:13" x14ac:dyDescent="0.3">
      <c r="I82" s="4">
        <v>469</v>
      </c>
      <c r="K82" s="9">
        <v>469</v>
      </c>
      <c r="L82" s="10">
        <v>469</v>
      </c>
      <c r="M82" s="11">
        <v>469</v>
      </c>
    </row>
    <row r="83" spans="9:13" x14ac:dyDescent="0.3">
      <c r="I83" s="4">
        <v>1969</v>
      </c>
      <c r="K83" s="9">
        <v>1969</v>
      </c>
      <c r="L83" s="10">
        <v>1969</v>
      </c>
      <c r="M83" s="11">
        <v>1969</v>
      </c>
    </row>
    <row r="84" spans="9:13" x14ac:dyDescent="0.3">
      <c r="I84" s="4">
        <v>506</v>
      </c>
      <c r="J84" s="7">
        <v>506</v>
      </c>
      <c r="K84" s="9">
        <v>506</v>
      </c>
      <c r="L84" s="10">
        <v>506</v>
      </c>
      <c r="M84" s="11">
        <v>506</v>
      </c>
    </row>
    <row r="85" spans="9:13" x14ac:dyDescent="0.3">
      <c r="I85" s="4">
        <v>737</v>
      </c>
      <c r="J85" s="7">
        <v>737</v>
      </c>
      <c r="K85" s="9">
        <v>737</v>
      </c>
      <c r="L85" s="10">
        <v>737</v>
      </c>
      <c r="M85" s="11">
        <v>737</v>
      </c>
    </row>
    <row r="86" spans="9:13" x14ac:dyDescent="0.3">
      <c r="I86" s="4">
        <v>385</v>
      </c>
      <c r="J86" s="7">
        <v>385</v>
      </c>
      <c r="K86" s="9">
        <v>385</v>
      </c>
      <c r="L86" s="10">
        <v>385</v>
      </c>
      <c r="M86" s="11">
        <v>385</v>
      </c>
    </row>
    <row r="87" spans="9:13" x14ac:dyDescent="0.3">
      <c r="I87" s="4">
        <v>440</v>
      </c>
      <c r="J87" s="7">
        <v>440</v>
      </c>
      <c r="K87" s="9">
        <v>440</v>
      </c>
      <c r="L87" s="10">
        <v>440</v>
      </c>
      <c r="M87" s="11">
        <v>440</v>
      </c>
    </row>
    <row r="88" spans="9:13" x14ac:dyDescent="0.3">
      <c r="I88" s="4">
        <v>132</v>
      </c>
      <c r="J88" s="7">
        <v>132</v>
      </c>
      <c r="K88" s="9">
        <v>132</v>
      </c>
      <c r="L88" s="10">
        <v>132</v>
      </c>
      <c r="M88" s="11">
        <v>132</v>
      </c>
    </row>
    <row r="89" spans="9:13" x14ac:dyDescent="0.3">
      <c r="I89" s="4">
        <v>473</v>
      </c>
      <c r="J89" s="7">
        <v>473</v>
      </c>
      <c r="K89" s="9">
        <v>473</v>
      </c>
      <c r="L89" s="10">
        <v>473</v>
      </c>
      <c r="M89" s="11">
        <v>473</v>
      </c>
    </row>
    <row r="90" spans="9:13" x14ac:dyDescent="0.3">
      <c r="I90" s="4">
        <v>1138</v>
      </c>
      <c r="J90" s="7">
        <v>1138</v>
      </c>
      <c r="K90" s="9">
        <v>1138</v>
      </c>
      <c r="L90" s="10">
        <v>1138</v>
      </c>
      <c r="M90" s="11">
        <v>1138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C3" sqref="C3:C7"/>
    </sheetView>
  </sheetViews>
  <sheetFormatPr defaultRowHeight="14.4" x14ac:dyDescent="0.3"/>
  <cols>
    <col min="1" max="1" width="34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ht="28.8" x14ac:dyDescent="0.3">
      <c r="A1" s="1" t="s">
        <v>69</v>
      </c>
    </row>
    <row r="2" spans="1:5" x14ac:dyDescent="0.3">
      <c r="A2" s="2" t="s">
        <v>1</v>
      </c>
      <c r="B2" s="2" t="s">
        <v>2</v>
      </c>
      <c r="C2" s="2" t="s">
        <v>70</v>
      </c>
      <c r="D2" s="2" t="s">
        <v>71</v>
      </c>
      <c r="E2" s="2" t="s">
        <v>72</v>
      </c>
    </row>
    <row r="3" spans="1:5" x14ac:dyDescent="0.3">
      <c r="A3" s="1" t="s">
        <v>3</v>
      </c>
      <c r="B3" s="1">
        <v>10000</v>
      </c>
      <c r="C3" s="1">
        <v>10000</v>
      </c>
      <c r="D3" s="1">
        <v>0</v>
      </c>
      <c r="E3" s="1" t="s">
        <v>73</v>
      </c>
    </row>
    <row r="4" spans="1:5" x14ac:dyDescent="0.3">
      <c r="A4" s="1" t="s">
        <v>4</v>
      </c>
      <c r="B4" s="1">
        <v>10000</v>
      </c>
      <c r="C4" s="1">
        <v>10000</v>
      </c>
      <c r="D4" s="1">
        <v>0</v>
      </c>
      <c r="E4" s="1" t="s">
        <v>73</v>
      </c>
    </row>
    <row r="5" spans="1:5" x14ac:dyDescent="0.3">
      <c r="A5" s="1" t="s">
        <v>5</v>
      </c>
      <c r="B5" s="1">
        <v>10000</v>
      </c>
      <c r="C5" s="1">
        <v>10000</v>
      </c>
      <c r="D5" s="1">
        <v>0</v>
      </c>
      <c r="E5" s="1" t="s">
        <v>73</v>
      </c>
    </row>
    <row r="6" spans="1:5" x14ac:dyDescent="0.3">
      <c r="A6" s="1" t="s">
        <v>6</v>
      </c>
      <c r="B6" s="1">
        <v>11000</v>
      </c>
      <c r="C6" s="1">
        <v>11000</v>
      </c>
      <c r="D6" s="1">
        <v>0</v>
      </c>
      <c r="E6" s="1" t="s">
        <v>73</v>
      </c>
    </row>
    <row r="7" spans="1:5" x14ac:dyDescent="0.3">
      <c r="A7" s="1" t="s">
        <v>7</v>
      </c>
      <c r="B7" s="1">
        <v>9931</v>
      </c>
      <c r="C7" s="1">
        <v>9931</v>
      </c>
      <c r="D7" s="1">
        <v>0</v>
      </c>
      <c r="E7" s="1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>
      <selection activeCell="F3" sqref="F3:F12"/>
    </sheetView>
  </sheetViews>
  <sheetFormatPr defaultRowHeight="14.4" x14ac:dyDescent="0.3"/>
  <cols>
    <col min="1" max="1" width="55" customWidth="1"/>
    <col min="2" max="2" width="17" customWidth="1"/>
    <col min="3" max="3" width="14" customWidth="1"/>
    <col min="4" max="4" width="55" customWidth="1"/>
    <col min="5" max="5" width="31" customWidth="1"/>
    <col min="6" max="6" width="12" customWidth="1"/>
    <col min="7" max="8" width="14" customWidth="1"/>
    <col min="9" max="9" width="11" customWidth="1"/>
    <col min="10" max="10" width="9" customWidth="1"/>
  </cols>
  <sheetData>
    <row r="1" spans="1:10" ht="28.8" x14ac:dyDescent="0.3">
      <c r="A1" s="1" t="s">
        <v>74</v>
      </c>
    </row>
    <row r="2" spans="1:10" x14ac:dyDescent="0.3">
      <c r="A2" s="2" t="s">
        <v>75</v>
      </c>
      <c r="B2" s="2" t="s">
        <v>41</v>
      </c>
      <c r="C2" s="2" t="s">
        <v>39</v>
      </c>
      <c r="D2" s="2" t="s">
        <v>76</v>
      </c>
      <c r="E2" s="2" t="s">
        <v>77</v>
      </c>
      <c r="F2" s="2" t="s">
        <v>78</v>
      </c>
      <c r="G2" s="2" t="s">
        <v>2</v>
      </c>
      <c r="H2" s="2" t="s">
        <v>71</v>
      </c>
      <c r="I2" s="2" t="s">
        <v>72</v>
      </c>
      <c r="J2" s="2" t="s">
        <v>79</v>
      </c>
    </row>
    <row r="3" spans="1:10" ht="86.4" x14ac:dyDescent="0.3">
      <c r="A3" s="12" t="s">
        <v>50</v>
      </c>
      <c r="B3" s="4" t="s">
        <v>49</v>
      </c>
      <c r="C3" s="4" t="s">
        <v>45</v>
      </c>
      <c r="D3" s="4" t="s">
        <v>80</v>
      </c>
      <c r="E3" s="4" t="s">
        <v>81</v>
      </c>
      <c r="F3" s="4">
        <v>4992</v>
      </c>
      <c r="G3" s="4">
        <v>5000</v>
      </c>
      <c r="H3" s="4">
        <v>8</v>
      </c>
      <c r="I3" s="4" t="s">
        <v>82</v>
      </c>
      <c r="J3" s="4" t="s">
        <v>83</v>
      </c>
    </row>
    <row r="4" spans="1:10" ht="158.4" x14ac:dyDescent="0.3">
      <c r="A4" s="7" t="s">
        <v>50</v>
      </c>
      <c r="B4" s="7" t="s">
        <v>55</v>
      </c>
      <c r="C4" s="7" t="s">
        <v>53</v>
      </c>
      <c r="D4" s="7" t="s">
        <v>84</v>
      </c>
      <c r="E4" s="7" t="s">
        <v>85</v>
      </c>
      <c r="F4" s="7">
        <v>4938</v>
      </c>
      <c r="G4" s="7">
        <v>5000</v>
      </c>
      <c r="H4" s="7">
        <v>62</v>
      </c>
      <c r="I4" s="7" t="s">
        <v>86</v>
      </c>
      <c r="J4" s="7" t="s">
        <v>83</v>
      </c>
    </row>
    <row r="5" spans="1:10" ht="86.4" x14ac:dyDescent="0.3">
      <c r="A5" s="9" t="s">
        <v>50</v>
      </c>
      <c r="B5" s="9" t="s">
        <v>59</v>
      </c>
      <c r="C5" s="9" t="s">
        <v>57</v>
      </c>
      <c r="D5" s="9" t="s">
        <v>80</v>
      </c>
      <c r="E5" s="9" t="s">
        <v>81</v>
      </c>
      <c r="F5" s="9">
        <v>4992</v>
      </c>
      <c r="G5" s="9">
        <v>5000</v>
      </c>
      <c r="H5" s="9">
        <v>8</v>
      </c>
      <c r="I5" s="9" t="s">
        <v>82</v>
      </c>
      <c r="J5" s="9" t="s">
        <v>83</v>
      </c>
    </row>
    <row r="6" spans="1:10" ht="86.4" x14ac:dyDescent="0.3">
      <c r="A6" s="10" t="s">
        <v>50</v>
      </c>
      <c r="B6" s="10" t="s">
        <v>63</v>
      </c>
      <c r="C6" s="10" t="s">
        <v>61</v>
      </c>
      <c r="D6" s="10" t="s">
        <v>80</v>
      </c>
      <c r="E6" s="10" t="s">
        <v>81</v>
      </c>
      <c r="F6" s="10">
        <v>4992</v>
      </c>
      <c r="G6" s="10">
        <v>5000</v>
      </c>
      <c r="H6" s="10">
        <v>8</v>
      </c>
      <c r="I6" s="10" t="s">
        <v>82</v>
      </c>
      <c r="J6" s="10" t="s">
        <v>83</v>
      </c>
    </row>
    <row r="7" spans="1:10" ht="86.4" x14ac:dyDescent="0.3">
      <c r="A7" s="11" t="s">
        <v>50</v>
      </c>
      <c r="B7" s="11" t="s">
        <v>67</v>
      </c>
      <c r="C7" s="11" t="s">
        <v>65</v>
      </c>
      <c r="D7" s="11" t="s">
        <v>80</v>
      </c>
      <c r="E7" s="11" t="s">
        <v>81</v>
      </c>
      <c r="F7" s="11">
        <v>4992</v>
      </c>
      <c r="G7" s="11">
        <v>5000</v>
      </c>
      <c r="H7" s="11">
        <v>8</v>
      </c>
      <c r="I7" s="11" t="s">
        <v>82</v>
      </c>
      <c r="J7" s="11" t="s">
        <v>83</v>
      </c>
    </row>
    <row r="8" spans="1:10" ht="144" x14ac:dyDescent="0.3">
      <c r="A8" s="12" t="s">
        <v>47</v>
      </c>
      <c r="B8" s="4" t="s">
        <v>46</v>
      </c>
      <c r="C8" s="4" t="s">
        <v>45</v>
      </c>
      <c r="D8" s="4" t="s">
        <v>87</v>
      </c>
      <c r="E8" s="4" t="s">
        <v>88</v>
      </c>
      <c r="F8" s="4">
        <v>4891</v>
      </c>
      <c r="G8" s="4">
        <v>5000</v>
      </c>
      <c r="H8" s="4">
        <v>109</v>
      </c>
      <c r="I8" s="4" t="s">
        <v>89</v>
      </c>
      <c r="J8" s="4" t="s">
        <v>83</v>
      </c>
    </row>
    <row r="9" spans="1:10" ht="43.2" x14ac:dyDescent="0.3">
      <c r="A9" s="7" t="s">
        <v>47</v>
      </c>
      <c r="B9" s="7" t="s">
        <v>54</v>
      </c>
      <c r="C9" s="7" t="s">
        <v>53</v>
      </c>
      <c r="D9" s="7" t="s">
        <v>90</v>
      </c>
      <c r="E9" s="7" t="s">
        <v>91</v>
      </c>
      <c r="F9" s="7">
        <v>517</v>
      </c>
      <c r="G9" s="7">
        <v>5000</v>
      </c>
      <c r="H9" s="7">
        <v>4483</v>
      </c>
      <c r="I9" s="7" t="s">
        <v>92</v>
      </c>
      <c r="J9" s="7" t="s">
        <v>83</v>
      </c>
    </row>
    <row r="10" spans="1:10" ht="144" x14ac:dyDescent="0.3">
      <c r="A10" s="9" t="s">
        <v>47</v>
      </c>
      <c r="B10" s="9" t="s">
        <v>58</v>
      </c>
      <c r="C10" s="9" t="s">
        <v>57</v>
      </c>
      <c r="D10" s="9" t="s">
        <v>87</v>
      </c>
      <c r="E10" s="9" t="s">
        <v>88</v>
      </c>
      <c r="F10" s="9">
        <v>4891</v>
      </c>
      <c r="G10" s="9">
        <v>5000</v>
      </c>
      <c r="H10" s="9">
        <v>109</v>
      </c>
      <c r="I10" s="9" t="s">
        <v>89</v>
      </c>
      <c r="J10" s="9" t="s">
        <v>83</v>
      </c>
    </row>
    <row r="11" spans="1:10" ht="144" x14ac:dyDescent="0.3">
      <c r="A11" s="10" t="s">
        <v>47</v>
      </c>
      <c r="B11" s="10" t="s">
        <v>62</v>
      </c>
      <c r="C11" s="10" t="s">
        <v>61</v>
      </c>
      <c r="D11" s="10" t="s">
        <v>87</v>
      </c>
      <c r="E11" s="10" t="s">
        <v>88</v>
      </c>
      <c r="F11" s="10">
        <v>4891</v>
      </c>
      <c r="G11" s="10">
        <v>5000</v>
      </c>
      <c r="H11" s="10">
        <v>109</v>
      </c>
      <c r="I11" s="10" t="s">
        <v>89</v>
      </c>
      <c r="J11" s="10" t="s">
        <v>83</v>
      </c>
    </row>
    <row r="12" spans="1:10" ht="144" x14ac:dyDescent="0.3">
      <c r="A12" s="11" t="s">
        <v>47</v>
      </c>
      <c r="B12" s="11" t="s">
        <v>66</v>
      </c>
      <c r="C12" s="11" t="s">
        <v>65</v>
      </c>
      <c r="D12" s="11" t="s">
        <v>87</v>
      </c>
      <c r="E12" s="11" t="s">
        <v>88</v>
      </c>
      <c r="F12" s="11">
        <v>4891</v>
      </c>
      <c r="G12" s="11">
        <v>5000</v>
      </c>
      <c r="H12" s="11">
        <v>109</v>
      </c>
      <c r="I12" s="11" t="s">
        <v>89</v>
      </c>
      <c r="J12" s="11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topLeftCell="B1" workbookViewId="0">
      <selection activeCell="K14" sqref="K14:K15"/>
    </sheetView>
  </sheetViews>
  <sheetFormatPr defaultRowHeight="14.4" x14ac:dyDescent="0.3"/>
  <cols>
    <col min="1" max="2" width="55" customWidth="1"/>
    <col min="3" max="3" width="21" customWidth="1"/>
    <col min="4" max="4" width="5" customWidth="1"/>
    <col min="5" max="5" width="55" customWidth="1"/>
    <col min="6" max="6" width="20" customWidth="1"/>
    <col min="7" max="7" width="6" customWidth="1"/>
  </cols>
  <sheetData>
    <row r="1" spans="1:15" ht="28.8" x14ac:dyDescent="0.3">
      <c r="A1" s="1" t="s">
        <v>93</v>
      </c>
    </row>
    <row r="2" spans="1:15" x14ac:dyDescent="0.3">
      <c r="A2" s="2" t="s">
        <v>75</v>
      </c>
      <c r="B2" s="2" t="s">
        <v>94</v>
      </c>
      <c r="C2" s="2" t="s">
        <v>95</v>
      </c>
      <c r="D2" s="2" t="s">
        <v>35</v>
      </c>
      <c r="E2" s="2" t="s">
        <v>96</v>
      </c>
      <c r="F2" s="2" t="s">
        <v>97</v>
      </c>
      <c r="G2" s="2" t="s">
        <v>11</v>
      </c>
    </row>
    <row r="3" spans="1:15" ht="28.8" x14ac:dyDescent="0.3">
      <c r="A3" s="13" t="s">
        <v>50</v>
      </c>
      <c r="B3" s="13" t="s">
        <v>98</v>
      </c>
      <c r="C3" s="13">
        <v>4992</v>
      </c>
      <c r="D3" s="13">
        <v>1</v>
      </c>
      <c r="E3" s="13" t="s">
        <v>23</v>
      </c>
      <c r="F3" s="13">
        <v>1138</v>
      </c>
      <c r="G3" s="13">
        <v>5</v>
      </c>
      <c r="H3">
        <f>F3*G3</f>
        <v>5690</v>
      </c>
      <c r="J3" t="s">
        <v>100</v>
      </c>
      <c r="K3" s="4">
        <v>869</v>
      </c>
      <c r="L3" s="7">
        <v>869</v>
      </c>
      <c r="M3" s="9">
        <v>869</v>
      </c>
      <c r="N3" s="10">
        <v>869</v>
      </c>
      <c r="O3" s="11">
        <v>869</v>
      </c>
    </row>
    <row r="4" spans="1:15" ht="28.8" x14ac:dyDescent="0.3">
      <c r="D4" s="1">
        <v>2</v>
      </c>
      <c r="E4" s="1" t="s">
        <v>20</v>
      </c>
      <c r="F4" s="1">
        <v>385</v>
      </c>
      <c r="G4" s="1">
        <v>5</v>
      </c>
      <c r="H4">
        <f t="shared" ref="H4:H13" si="0">F4*G4</f>
        <v>1925</v>
      </c>
      <c r="J4" t="s">
        <v>100</v>
      </c>
      <c r="K4" s="4">
        <v>775</v>
      </c>
      <c r="L4" s="7">
        <v>775</v>
      </c>
      <c r="M4" s="9">
        <v>775</v>
      </c>
      <c r="N4" s="10">
        <v>775</v>
      </c>
      <c r="O4" s="11">
        <v>775</v>
      </c>
    </row>
    <row r="5" spans="1:15" x14ac:dyDescent="0.3">
      <c r="D5" s="1">
        <v>3</v>
      </c>
      <c r="E5" s="1" t="s">
        <v>30</v>
      </c>
      <c r="F5" s="1">
        <v>1969</v>
      </c>
      <c r="G5" s="1">
        <v>4</v>
      </c>
      <c r="H5">
        <f t="shared" si="0"/>
        <v>7876</v>
      </c>
      <c r="J5" t="s">
        <v>100</v>
      </c>
      <c r="K5" s="4">
        <v>1000</v>
      </c>
      <c r="M5" s="9">
        <v>1000</v>
      </c>
      <c r="N5" s="10">
        <v>1000</v>
      </c>
      <c r="O5" s="11">
        <v>1000</v>
      </c>
    </row>
    <row r="6" spans="1:15" x14ac:dyDescent="0.3">
      <c r="D6" s="1">
        <v>4</v>
      </c>
      <c r="E6" s="1" t="s">
        <v>29</v>
      </c>
      <c r="F6" s="1">
        <v>1500</v>
      </c>
      <c r="G6" s="1">
        <v>4</v>
      </c>
      <c r="H6">
        <f t="shared" si="0"/>
        <v>6000</v>
      </c>
      <c r="J6" t="s">
        <v>100</v>
      </c>
      <c r="K6" s="4">
        <v>1500</v>
      </c>
      <c r="M6" s="9">
        <v>1500</v>
      </c>
      <c r="N6" s="10">
        <v>1500</v>
      </c>
      <c r="O6" s="11">
        <v>1500</v>
      </c>
    </row>
    <row r="7" spans="1:15" ht="28.8" x14ac:dyDescent="0.3">
      <c r="A7" s="13" t="s">
        <v>47</v>
      </c>
      <c r="B7" s="13" t="s">
        <v>99</v>
      </c>
      <c r="C7" s="13">
        <v>4891</v>
      </c>
      <c r="D7" s="13">
        <v>5</v>
      </c>
      <c r="E7" s="13" t="s">
        <v>17</v>
      </c>
      <c r="F7" s="13">
        <v>473</v>
      </c>
      <c r="G7" s="13">
        <v>5</v>
      </c>
      <c r="H7">
        <f t="shared" si="0"/>
        <v>2365</v>
      </c>
      <c r="K7" s="4">
        <v>445</v>
      </c>
      <c r="M7" s="9">
        <v>445</v>
      </c>
      <c r="N7" s="10">
        <v>445</v>
      </c>
      <c r="O7" s="11">
        <v>445</v>
      </c>
    </row>
    <row r="8" spans="1:15" ht="28.8" x14ac:dyDescent="0.3">
      <c r="D8" s="1">
        <v>6</v>
      </c>
      <c r="E8" s="1" t="s">
        <v>18</v>
      </c>
      <c r="F8" s="1">
        <v>737</v>
      </c>
      <c r="G8" s="1">
        <v>5</v>
      </c>
      <c r="H8">
        <f t="shared" si="0"/>
        <v>3685</v>
      </c>
      <c r="J8" t="s">
        <v>100</v>
      </c>
      <c r="K8" s="4">
        <v>531</v>
      </c>
      <c r="M8" s="9">
        <v>531</v>
      </c>
      <c r="N8" s="10">
        <v>531</v>
      </c>
      <c r="O8" s="11">
        <v>531</v>
      </c>
    </row>
    <row r="9" spans="1:15" ht="28.8" x14ac:dyDescent="0.3">
      <c r="D9" s="1">
        <v>7</v>
      </c>
      <c r="E9" s="1" t="s">
        <v>14</v>
      </c>
      <c r="F9" s="1">
        <v>506</v>
      </c>
      <c r="G9" s="1">
        <v>5</v>
      </c>
      <c r="H9">
        <f t="shared" si="0"/>
        <v>2530</v>
      </c>
      <c r="K9" s="4">
        <v>469</v>
      </c>
      <c r="M9" s="9">
        <v>469</v>
      </c>
      <c r="N9" s="10">
        <v>469</v>
      </c>
      <c r="O9" s="11">
        <v>469</v>
      </c>
    </row>
    <row r="10" spans="1:15" x14ac:dyDescent="0.3">
      <c r="D10" s="1">
        <v>8</v>
      </c>
      <c r="E10" s="1" t="s">
        <v>25</v>
      </c>
      <c r="F10" s="1">
        <v>531</v>
      </c>
      <c r="G10" s="1">
        <v>4</v>
      </c>
      <c r="H10">
        <f t="shared" si="0"/>
        <v>2124</v>
      </c>
      <c r="J10" t="s">
        <v>100</v>
      </c>
      <c r="K10" s="4">
        <v>1969</v>
      </c>
      <c r="M10" s="9">
        <v>1969</v>
      </c>
      <c r="N10" s="10">
        <v>1969</v>
      </c>
      <c r="O10" s="11">
        <v>1969</v>
      </c>
    </row>
    <row r="11" spans="1:15" x14ac:dyDescent="0.3">
      <c r="D11" s="1">
        <v>9</v>
      </c>
      <c r="E11" s="1" t="s">
        <v>28</v>
      </c>
      <c r="F11" s="1">
        <v>1000</v>
      </c>
      <c r="G11" s="1">
        <v>4</v>
      </c>
      <c r="H11">
        <f t="shared" si="0"/>
        <v>4000</v>
      </c>
      <c r="J11" t="s">
        <v>100</v>
      </c>
      <c r="K11" s="4">
        <v>506</v>
      </c>
      <c r="L11" s="7">
        <v>506</v>
      </c>
      <c r="M11" s="9">
        <v>506</v>
      </c>
      <c r="N11" s="10">
        <v>506</v>
      </c>
      <c r="O11" s="11">
        <v>506</v>
      </c>
    </row>
    <row r="12" spans="1:15" ht="28.8" x14ac:dyDescent="0.3">
      <c r="D12" s="1">
        <v>10</v>
      </c>
      <c r="E12" s="1" t="s">
        <v>21</v>
      </c>
      <c r="F12" s="1">
        <v>775</v>
      </c>
      <c r="G12" s="1">
        <v>5</v>
      </c>
      <c r="H12">
        <f t="shared" si="0"/>
        <v>3875</v>
      </c>
      <c r="J12" t="s">
        <v>100</v>
      </c>
      <c r="K12" s="4">
        <v>737</v>
      </c>
      <c r="L12" s="7">
        <v>737</v>
      </c>
      <c r="M12" s="9">
        <v>737</v>
      </c>
      <c r="N12" s="10">
        <v>737</v>
      </c>
      <c r="O12" s="11">
        <v>737</v>
      </c>
    </row>
    <row r="13" spans="1:15" ht="28.8" x14ac:dyDescent="0.3">
      <c r="D13" s="1">
        <v>11</v>
      </c>
      <c r="E13" s="1" t="s">
        <v>19</v>
      </c>
      <c r="F13" s="1">
        <v>869</v>
      </c>
      <c r="G13" s="1">
        <v>5</v>
      </c>
      <c r="H13">
        <f t="shared" si="0"/>
        <v>4345</v>
      </c>
      <c r="J13" t="s">
        <v>100</v>
      </c>
      <c r="K13" s="4">
        <v>385</v>
      </c>
      <c r="L13" s="7">
        <v>385</v>
      </c>
      <c r="M13" s="9">
        <v>385</v>
      </c>
      <c r="N13" s="10">
        <v>385</v>
      </c>
      <c r="O13" s="11">
        <v>385</v>
      </c>
    </row>
    <row r="14" spans="1:15" x14ac:dyDescent="0.3">
      <c r="H14">
        <f>SUM(H3:H13)</f>
        <v>44415</v>
      </c>
      <c r="K14" s="4">
        <v>440</v>
      </c>
      <c r="L14" s="7">
        <v>440</v>
      </c>
      <c r="M14" s="9">
        <v>440</v>
      </c>
      <c r="N14" s="10">
        <v>440</v>
      </c>
      <c r="O14" s="11">
        <v>440</v>
      </c>
    </row>
    <row r="15" spans="1:15" x14ac:dyDescent="0.3">
      <c r="H15">
        <v>6516</v>
      </c>
      <c r="K15" s="4">
        <v>132</v>
      </c>
      <c r="L15" s="7">
        <v>132</v>
      </c>
      <c r="M15" s="9">
        <v>132</v>
      </c>
      <c r="N15" s="10">
        <v>132</v>
      </c>
      <c r="O15" s="11">
        <v>132</v>
      </c>
    </row>
    <row r="16" spans="1:15" x14ac:dyDescent="0.3">
      <c r="H16">
        <f>H14+H15</f>
        <v>50931</v>
      </c>
      <c r="J16" t="s">
        <v>100</v>
      </c>
      <c r="K16" s="4">
        <v>473</v>
      </c>
      <c r="L16" s="7">
        <v>473</v>
      </c>
      <c r="M16" s="9">
        <v>473</v>
      </c>
      <c r="N16" s="10">
        <v>473</v>
      </c>
      <c r="O16" s="11">
        <v>473</v>
      </c>
    </row>
    <row r="17" spans="10:15" x14ac:dyDescent="0.3">
      <c r="J17" t="s">
        <v>100</v>
      </c>
      <c r="K17" s="4">
        <v>1138</v>
      </c>
      <c r="L17" s="7">
        <v>1138</v>
      </c>
      <c r="M17" s="9">
        <v>1138</v>
      </c>
      <c r="N17" s="10">
        <v>1138</v>
      </c>
      <c r="O17" s="11">
        <v>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1. Данные</vt:lpstr>
      <vt:lpstr>2. Удлинения</vt:lpstr>
      <vt:lpstr>3. Инструкция (изол.)</vt:lpstr>
      <vt:lpstr>4. Источники (остатки)</vt:lpstr>
      <vt:lpstr>5. Приёмные катушки</vt:lpstr>
      <vt:lpstr>6. Скрутка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2026-03-15T08:28:27Z</dcterms:created>
  <dcterms:modified xsi:type="dcterms:W3CDTF">2026-03-15T17:32:55Z</dcterms:modified>
</cp:coreProperties>
</file>