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BD576E1E-B5C5-479A-A403-0E2655406B17}" xr6:coauthVersionLast="47" xr6:coauthVersionMax="47" xr10:uidLastSave="{00000000-0000-0000-0000-000000000000}"/>
  <bookViews>
    <workbookView xWindow="9216" yWindow="732" windowWidth="30960" windowHeight="15060" activeTab="3" xr2:uid="{00000000-000D-0000-FFFF-FFFF00000000}"/>
  </bookViews>
  <sheets>
    <sheet name="0. Сводка" sheetId="1" r:id="rId1"/>
    <sheet name="1. Данные" sheetId="2" r:id="rId2"/>
    <sheet name="2. Инструкция" sheetId="3" r:id="rId3"/>
    <sheet name="3. Остатки" sheetId="4" r:id="rId4"/>
  </sheets>
  <definedNames>
    <definedName name="_xlnm._FilterDatabase" localSheetId="2" hidden="1">'2. Инструкция'!$A$1:$I$64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  <c r="D9" i="4"/>
  <c r="C9" i="4"/>
  <c r="B9" i="4"/>
</calcChain>
</file>

<file path=xl/sharedStrings.xml><?xml version="1.0" encoding="utf-8"?>
<sst xmlns="http://schemas.openxmlformats.org/spreadsheetml/2006/main" count="342" uniqueCount="72">
  <si>
    <t>🏭 ПРОИЗВОДСТВЕННАЯ СВОДКА</t>
  </si>
  <si>
    <t>📦 Барабаны</t>
  </si>
  <si>
    <t xml:space="preserve">  Кол-во барабанов</t>
  </si>
  <si>
    <t xml:space="preserve">  Всего провода (м)</t>
  </si>
  <si>
    <t>🔌 Заказы</t>
  </si>
  <si>
    <t xml:space="preserve">  Всего заказов</t>
  </si>
  <si>
    <t xml:space="preserve">  Фиксированных</t>
  </si>
  <si>
    <t xml:space="preserve">  Гибких</t>
  </si>
  <si>
    <t xml:space="preserve">  Требуется (м)</t>
  </si>
  <si>
    <t xml:space="preserve">  Запас (+) / Дефицит (-)</t>
  </si>
  <si>
    <t>📋 Результат</t>
  </si>
  <si>
    <t xml:space="preserve">  Отрезков в инструкции</t>
  </si>
  <si>
    <t xml:space="preserve">  Смен барабанов</t>
  </si>
  <si>
    <t xml:space="preserve">  Ошибок</t>
  </si>
  <si>
    <t>🧹 Использование</t>
  </si>
  <si>
    <t xml:space="preserve">  Остаток до удлинений (м)</t>
  </si>
  <si>
    <t xml:space="preserve">  Поглощено гибкими (м)</t>
  </si>
  <si>
    <t xml:space="preserve">  Финальный остаток (м)</t>
  </si>
  <si>
    <t xml:space="preserve">  КПД использования (%)</t>
  </si>
  <si>
    <t>🕐 Дата формирования</t>
  </si>
  <si>
    <t>15.03.2026 03:06</t>
  </si>
  <si>
    <t>📦 БАРАБАНЫ</t>
  </si>
  <si>
    <t>Барабан</t>
  </si>
  <si>
    <t>Длина (м)</t>
  </si>
  <si>
    <t>Барабан-1</t>
  </si>
  <si>
    <t>Барабан-2</t>
  </si>
  <si>
    <t>Барабан-3</t>
  </si>
  <si>
    <t>Барабан-4</t>
  </si>
  <si>
    <t>Барабан-5</t>
  </si>
  <si>
    <t>🔌 ЗАКАЗЫ НА КАБЕЛЬ</t>
  </si>
  <si>
    <t>Мин. длина (м)</t>
  </si>
  <si>
    <t>Жил</t>
  </si>
  <si>
    <t>Цвета</t>
  </si>
  <si>
    <t>Тип</t>
  </si>
  <si>
    <t>п.10 ВБШвнг-LS 5х16 — 460м</t>
  </si>
  <si>
    <t>ж/з, синий, чёрный, коричневый, натуральный</t>
  </si>
  <si>
    <t>фикс.</t>
  </si>
  <si>
    <t>п.42 ВБШвнг-LS 5х16 — 350м</t>
  </si>
  <si>
    <t>п.53 ВВГнг-LS 5х16 — 400м</t>
  </si>
  <si>
    <t>п.88 ВВГнг-LS 5х16 — 120м</t>
  </si>
  <si>
    <t>п.30 ВБШвнг-LS 5х16 — 430м</t>
  </si>
  <si>
    <t>п.31 ВБШвнг-LS 5х16 — 670м</t>
  </si>
  <si>
    <t>п.37 ВБШвнг-LS 5х16 — 790м</t>
  </si>
  <si>
    <t>п.51 ВБШвнг-LS 5х16 — 705м</t>
  </si>
  <si>
    <t>п.56 ВБШвнг-LS 5х16 — 1035м</t>
  </si>
  <si>
    <t>п.14 ВБШвнг-LS 4х16 — часть 1</t>
  </si>
  <si>
    <t>синий, чёрный, коричневый, натуральный</t>
  </si>
  <si>
    <t>п.14 ВБШвнг-LS 4х16 — часть 2</t>
  </si>
  <si>
    <t>п.14 ВБШвнг-LS 4х16 — часть 3</t>
  </si>
  <si>
    <t>п.14 ВБШвнг-LS 4х16 — часть 4 (макс. длина)</t>
  </si>
  <si>
    <t>гибкий</t>
  </si>
  <si>
    <t>📋 ПОШАГОВАЯ ИНСТРУКЦИЯ ДЛЯ ИЗОЛИРОВЩИКА</t>
  </si>
  <si>
    <t>№</t>
  </si>
  <si>
    <t>Смена барабана</t>
  </si>
  <si>
    <t>Цвет</t>
  </si>
  <si>
    <t>Заказ</t>
  </si>
  <si>
    <t>Изолировать (м)</t>
  </si>
  <si>
    <t>Было на барабане (м)</t>
  </si>
  <si>
    <t>Осталось на барабане (м)</t>
  </si>
  <si>
    <t>ж/з</t>
  </si>
  <si>
    <t>синий</t>
  </si>
  <si>
    <t>&gt;&gt; МЕНЯЕМ БАРАБАН</t>
  </si>
  <si>
    <t>ГИБКИЙ</t>
  </si>
  <si>
    <t>чёрный</t>
  </si>
  <si>
    <t>коричневый</t>
  </si>
  <si>
    <t>натуральный</t>
  </si>
  <si>
    <t>📊 ОСТАТКИ НА БАРАБАНАХ</t>
  </si>
  <si>
    <t>Всего (м)</t>
  </si>
  <si>
    <t>Использовано (м)</t>
  </si>
  <si>
    <t>Остаток (м)</t>
  </si>
  <si>
    <t>Использование %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</si>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</sst>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  <fill>
      <patternFill patternType="solid">
        <fgColor rgb="FFFF6B6B"/>
        <bgColor rgb="FFFF6B6B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5" fillId="0" borderId="0" xfId="0" applyFont="1"/>
    <xf numFmtId="0" fontId="6" fillId="3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6" borderId="2" xfId="0" applyFont="1" applyFill="1" applyBorder="1"/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4" fillId="0" borderId="0" xfId="0" applyFont="1"/>
    <xf numFmtId="0" fontId="4" fillId="0" borderId="2" xfId="0" applyFont="1" applyBorder="1"/>
    <xf numFmtId="0" fontId="7" fillId="9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/>
  </sheetViews>
  <sheetFormatPr defaultRowHeight="14.4" x14ac:dyDescent="0.3"/>
  <cols>
    <col min="1" max="1" width="35" customWidth="1"/>
    <col min="2" max="2" width="22" customWidth="1"/>
  </cols>
  <sheetData>
    <row r="1" spans="1:2" ht="16.8" x14ac:dyDescent="0.3">
      <c r="A1" s="1" t="s">
        <v>0</v>
      </c>
    </row>
    <row r="2" spans="1:2" x14ac:dyDescent="0.3">
      <c r="A2" s="2"/>
      <c r="B2" s="2"/>
    </row>
    <row r="3" spans="1:2" x14ac:dyDescent="0.3">
      <c r="A3" s="3" t="s">
        <v>1</v>
      </c>
      <c r="B3" s="3"/>
    </row>
    <row r="4" spans="1:2" x14ac:dyDescent="0.3">
      <c r="A4" s="2" t="s">
        <v>2</v>
      </c>
      <c r="B4" s="2">
        <v>5</v>
      </c>
    </row>
    <row r="5" spans="1:2" x14ac:dyDescent="0.3">
      <c r="A5" s="2" t="s">
        <v>3</v>
      </c>
      <c r="B5" s="2">
        <v>50931</v>
      </c>
    </row>
    <row r="6" spans="1:2" x14ac:dyDescent="0.3">
      <c r="A6" s="2"/>
      <c r="B6" s="2"/>
    </row>
    <row r="7" spans="1:2" x14ac:dyDescent="0.3">
      <c r="A7" s="3" t="s">
        <v>4</v>
      </c>
      <c r="B7" s="3"/>
    </row>
    <row r="8" spans="1:2" x14ac:dyDescent="0.3">
      <c r="A8" s="2" t="s">
        <v>5</v>
      </c>
      <c r="B8" s="2">
        <v>13</v>
      </c>
    </row>
    <row r="9" spans="1:2" x14ac:dyDescent="0.3">
      <c r="A9" s="2" t="s">
        <v>6</v>
      </c>
      <c r="B9" s="2">
        <v>12</v>
      </c>
    </row>
    <row r="10" spans="1:2" x14ac:dyDescent="0.3">
      <c r="A10" s="2" t="s">
        <v>7</v>
      </c>
      <c r="B10" s="2">
        <v>1</v>
      </c>
    </row>
    <row r="11" spans="1:2" x14ac:dyDescent="0.3">
      <c r="A11" s="2" t="s">
        <v>8</v>
      </c>
      <c r="B11" s="2">
        <v>48680</v>
      </c>
    </row>
    <row r="12" spans="1:2" x14ac:dyDescent="0.3">
      <c r="A12" s="2" t="s">
        <v>9</v>
      </c>
      <c r="B12" s="2">
        <v>2251</v>
      </c>
    </row>
    <row r="13" spans="1:2" x14ac:dyDescent="0.3">
      <c r="A13" s="2"/>
      <c r="B13" s="2"/>
    </row>
    <row r="14" spans="1:2" x14ac:dyDescent="0.3">
      <c r="A14" s="3" t="s">
        <v>10</v>
      </c>
      <c r="B14" s="3"/>
    </row>
    <row r="15" spans="1:2" x14ac:dyDescent="0.3">
      <c r="A15" s="2" t="s">
        <v>11</v>
      </c>
      <c r="B15" s="2">
        <v>61</v>
      </c>
    </row>
    <row r="16" spans="1:2" x14ac:dyDescent="0.3">
      <c r="A16" s="2" t="s">
        <v>12</v>
      </c>
      <c r="B16" s="2">
        <v>3</v>
      </c>
    </row>
    <row r="17" spans="1:2" x14ac:dyDescent="0.3">
      <c r="A17" s="2" t="s">
        <v>13</v>
      </c>
      <c r="B17" s="2">
        <v>0</v>
      </c>
    </row>
    <row r="18" spans="1:2" x14ac:dyDescent="0.3">
      <c r="A18" s="2"/>
      <c r="B18" s="2"/>
    </row>
    <row r="19" spans="1:2" x14ac:dyDescent="0.3">
      <c r="A19" s="3" t="s">
        <v>14</v>
      </c>
      <c r="B19" s="3"/>
    </row>
    <row r="20" spans="1:2" x14ac:dyDescent="0.3">
      <c r="A20" s="2" t="s">
        <v>15</v>
      </c>
      <c r="B20" s="2">
        <v>2251</v>
      </c>
    </row>
    <row r="21" spans="1:2" x14ac:dyDescent="0.3">
      <c r="A21" s="2" t="s">
        <v>16</v>
      </c>
      <c r="B21" s="2">
        <v>0</v>
      </c>
    </row>
    <row r="22" spans="1:2" x14ac:dyDescent="0.3">
      <c r="A22" s="2" t="s">
        <v>17</v>
      </c>
      <c r="B22" s="2">
        <v>2251</v>
      </c>
    </row>
    <row r="23" spans="1:2" x14ac:dyDescent="0.3">
      <c r="A23" s="2" t="s">
        <v>18</v>
      </c>
      <c r="B23" s="2">
        <v>95.6</v>
      </c>
    </row>
    <row r="24" spans="1:2" x14ac:dyDescent="0.3">
      <c r="A24" s="2"/>
      <c r="B24" s="2"/>
    </row>
    <row r="25" spans="1:2" x14ac:dyDescent="0.3">
      <c r="A25" s="2" t="s">
        <v>19</v>
      </c>
      <c r="B25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A28" sqref="A28"/>
    </sheetView>
  </sheetViews>
  <sheetFormatPr defaultRowHeight="14.4" x14ac:dyDescent="0.3"/>
  <cols>
    <col min="1" max="1" width="46" customWidth="1"/>
    <col min="2" max="2" width="17" customWidth="1"/>
    <col min="3" max="3" width="6" customWidth="1"/>
    <col min="4" max="4" width="46" customWidth="1"/>
    <col min="5" max="5" width="9" customWidth="1"/>
  </cols>
  <sheetData>
    <row r="1" spans="1:5" ht="16.8" x14ac:dyDescent="0.3">
      <c r="A1" s="1" t="s">
        <v>21</v>
      </c>
    </row>
    <row r="3" spans="1:5" x14ac:dyDescent="0.3">
      <c r="A3" s="4" t="s">
        <v>22</v>
      </c>
      <c r="B3" s="4" t="s">
        <v>23</v>
      </c>
    </row>
    <row r="4" spans="1:5" x14ac:dyDescent="0.3">
      <c r="A4" s="5" t="s">
        <v>24</v>
      </c>
      <c r="B4" s="5">
        <v>10000</v>
      </c>
    </row>
    <row r="5" spans="1:5" x14ac:dyDescent="0.3">
      <c r="A5" s="5" t="s">
        <v>25</v>
      </c>
      <c r="B5" s="5">
        <v>10000</v>
      </c>
    </row>
    <row r="6" spans="1:5" x14ac:dyDescent="0.3">
      <c r="A6" s="5" t="s">
        <v>26</v>
      </c>
      <c r="B6" s="5">
        <v>10000</v>
      </c>
    </row>
    <row r="7" spans="1:5" x14ac:dyDescent="0.3">
      <c r="A7" s="5" t="s">
        <v>27</v>
      </c>
      <c r="B7" s="5">
        <v>11000</v>
      </c>
    </row>
    <row r="8" spans="1:5" x14ac:dyDescent="0.3">
      <c r="A8" s="5" t="s">
        <v>28</v>
      </c>
      <c r="B8" s="5">
        <v>9931</v>
      </c>
    </row>
    <row r="12" spans="1:5" x14ac:dyDescent="0.3">
      <c r="A12" s="6" t="s">
        <v>29</v>
      </c>
      <c r="B12" s="5" t="s">
        <v>30</v>
      </c>
      <c r="C12" s="5" t="s">
        <v>31</v>
      </c>
      <c r="D12" s="5" t="s">
        <v>32</v>
      </c>
      <c r="E12" s="5" t="s">
        <v>33</v>
      </c>
    </row>
    <row r="13" spans="1:5" x14ac:dyDescent="0.3">
      <c r="A13" s="7" t="s">
        <v>34</v>
      </c>
      <c r="B13" s="7">
        <v>506</v>
      </c>
      <c r="C13" s="7">
        <v>5</v>
      </c>
      <c r="D13" s="7" t="s">
        <v>35</v>
      </c>
      <c r="E13" s="7" t="s">
        <v>36</v>
      </c>
    </row>
    <row r="14" spans="1:5" x14ac:dyDescent="0.3">
      <c r="A14" s="5" t="s">
        <v>37</v>
      </c>
      <c r="B14" s="5">
        <v>385</v>
      </c>
      <c r="C14" s="5">
        <v>5</v>
      </c>
      <c r="D14" s="5" t="s">
        <v>35</v>
      </c>
      <c r="E14" s="5" t="s">
        <v>36</v>
      </c>
    </row>
    <row r="15" spans="1:5" x14ac:dyDescent="0.3">
      <c r="A15" s="5" t="s">
        <v>38</v>
      </c>
      <c r="B15" s="5">
        <v>440</v>
      </c>
      <c r="C15" s="5">
        <v>5</v>
      </c>
      <c r="D15" s="5" t="s">
        <v>35</v>
      </c>
      <c r="E15" s="5" t="s">
        <v>36</v>
      </c>
    </row>
    <row r="16" spans="1:5" x14ac:dyDescent="0.3">
      <c r="A16" s="5" t="s">
        <v>39</v>
      </c>
      <c r="B16" s="5">
        <v>132</v>
      </c>
      <c r="C16" s="5">
        <v>5</v>
      </c>
      <c r="D16" s="5" t="s">
        <v>35</v>
      </c>
      <c r="E16" s="5" t="s">
        <v>36</v>
      </c>
    </row>
    <row r="17" spans="1:5" x14ac:dyDescent="0.3">
      <c r="A17" s="5" t="s">
        <v>40</v>
      </c>
      <c r="B17" s="5">
        <v>473</v>
      </c>
      <c r="C17" s="5">
        <v>5</v>
      </c>
      <c r="D17" s="5" t="s">
        <v>35</v>
      </c>
      <c r="E17" s="5" t="s">
        <v>36</v>
      </c>
    </row>
    <row r="18" spans="1:5" x14ac:dyDescent="0.3">
      <c r="A18" s="5" t="s">
        <v>41</v>
      </c>
      <c r="B18" s="5">
        <v>737</v>
      </c>
      <c r="C18" s="5">
        <v>5</v>
      </c>
      <c r="D18" s="5" t="s">
        <v>35</v>
      </c>
      <c r="E18" s="5" t="s">
        <v>36</v>
      </c>
    </row>
    <row r="19" spans="1:5" x14ac:dyDescent="0.3">
      <c r="A19" s="5" t="s">
        <v>42</v>
      </c>
      <c r="B19" s="5">
        <v>869</v>
      </c>
      <c r="C19" s="5">
        <v>5</v>
      </c>
      <c r="D19" s="5" t="s">
        <v>35</v>
      </c>
      <c r="E19" s="5" t="s">
        <v>36</v>
      </c>
    </row>
    <row r="20" spans="1:5" x14ac:dyDescent="0.3">
      <c r="A20" s="5" t="s">
        <v>43</v>
      </c>
      <c r="B20" s="5">
        <v>775</v>
      </c>
      <c r="C20" s="5">
        <v>5</v>
      </c>
      <c r="D20" s="5" t="s">
        <v>35</v>
      </c>
      <c r="E20" s="5" t="s">
        <v>36</v>
      </c>
    </row>
    <row r="21" spans="1:5" x14ac:dyDescent="0.3">
      <c r="A21" s="5" t="s">
        <v>44</v>
      </c>
      <c r="B21" s="5">
        <v>1138</v>
      </c>
      <c r="C21" s="5">
        <v>5</v>
      </c>
      <c r="D21" s="5" t="s">
        <v>35</v>
      </c>
      <c r="E21" s="5" t="s">
        <v>36</v>
      </c>
    </row>
    <row r="22" spans="1:5" x14ac:dyDescent="0.3">
      <c r="A22" s="5" t="s">
        <v>45</v>
      </c>
      <c r="B22" s="5">
        <v>1450</v>
      </c>
      <c r="C22" s="5">
        <v>4</v>
      </c>
      <c r="D22" s="5" t="s">
        <v>46</v>
      </c>
      <c r="E22" s="5" t="s">
        <v>36</v>
      </c>
    </row>
    <row r="23" spans="1:5" x14ac:dyDescent="0.3">
      <c r="A23" s="5" t="s">
        <v>47</v>
      </c>
      <c r="B23" s="5">
        <v>1450</v>
      </c>
      <c r="C23" s="5">
        <v>4</v>
      </c>
      <c r="D23" s="5" t="s">
        <v>46</v>
      </c>
      <c r="E23" s="5" t="s">
        <v>36</v>
      </c>
    </row>
    <row r="24" spans="1:5" x14ac:dyDescent="0.3">
      <c r="A24" s="5" t="s">
        <v>48</v>
      </c>
      <c r="B24" s="5">
        <v>1450</v>
      </c>
      <c r="C24" s="5">
        <v>4</v>
      </c>
      <c r="D24" s="5" t="s">
        <v>46</v>
      </c>
      <c r="E24" s="5" t="s">
        <v>36</v>
      </c>
    </row>
    <row r="25" spans="1:5" x14ac:dyDescent="0.3">
      <c r="A25" s="5" t="s">
        <v>49</v>
      </c>
      <c r="B25" s="5">
        <v>1000</v>
      </c>
      <c r="C25" s="5">
        <v>4</v>
      </c>
      <c r="D25" s="5" t="s">
        <v>46</v>
      </c>
      <c r="E25" s="5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workbookViewId="0">
      <pane ySplit="3" topLeftCell="A67" activePane="bottomLeft" state="frozen"/>
      <selection pane="bottomLeft" activeCell="J70" sqref="J70:J82"/>
    </sheetView>
  </sheetViews>
  <sheetFormatPr defaultRowHeight="14.4" x14ac:dyDescent="0.3"/>
  <cols>
    <col min="1" max="1" width="42" customWidth="1"/>
    <col min="2" max="2" width="20" customWidth="1"/>
    <col min="3" max="3" width="14" customWidth="1"/>
    <col min="4" max="4" width="46" customWidth="1"/>
    <col min="5" max="5" width="9" customWidth="1"/>
    <col min="6" max="6" width="18" customWidth="1"/>
    <col min="7" max="7" width="12" customWidth="1"/>
    <col min="8" max="8" width="23" customWidth="1"/>
    <col min="9" max="9" width="27" customWidth="1"/>
  </cols>
  <sheetData>
    <row r="1" spans="1:9" ht="16.8" x14ac:dyDescent="0.3">
      <c r="A1" s="1" t="s">
        <v>51</v>
      </c>
    </row>
    <row r="3" spans="1:9" x14ac:dyDescent="0.3">
      <c r="A3" s="4" t="s">
        <v>52</v>
      </c>
      <c r="B3" s="4" t="s">
        <v>53</v>
      </c>
      <c r="C3" s="4" t="s">
        <v>54</v>
      </c>
      <c r="D3" s="4" t="s">
        <v>55</v>
      </c>
      <c r="E3" s="4" t="s">
        <v>33</v>
      </c>
      <c r="F3" s="4" t="s">
        <v>56</v>
      </c>
      <c r="G3" s="4" t="s">
        <v>22</v>
      </c>
      <c r="H3" s="4" t="s">
        <v>57</v>
      </c>
      <c r="I3" s="4" t="s">
        <v>58</v>
      </c>
    </row>
    <row r="4" spans="1:9" x14ac:dyDescent="0.3">
      <c r="A4" s="8">
        <v>1</v>
      </c>
      <c r="C4" s="8" t="s">
        <v>59</v>
      </c>
      <c r="D4" s="8" t="s">
        <v>44</v>
      </c>
      <c r="E4" s="8" t="s">
        <v>36</v>
      </c>
      <c r="F4" s="8">
        <v>1138</v>
      </c>
      <c r="G4" s="8" t="s">
        <v>28</v>
      </c>
      <c r="H4" s="8">
        <v>9931</v>
      </c>
      <c r="I4" s="8">
        <v>8792</v>
      </c>
    </row>
    <row r="5" spans="1:9" x14ac:dyDescent="0.3">
      <c r="A5" s="8">
        <v>2</v>
      </c>
      <c r="C5" s="8" t="s">
        <v>59</v>
      </c>
      <c r="D5" s="8" t="s">
        <v>42</v>
      </c>
      <c r="E5" s="8" t="s">
        <v>36</v>
      </c>
      <c r="F5" s="8">
        <v>869</v>
      </c>
      <c r="G5" s="8" t="s">
        <v>28</v>
      </c>
      <c r="H5" s="8">
        <v>8792</v>
      </c>
      <c r="I5" s="8">
        <v>7923</v>
      </c>
    </row>
    <row r="6" spans="1:9" x14ac:dyDescent="0.3">
      <c r="A6" s="8">
        <v>3</v>
      </c>
      <c r="C6" s="8" t="s">
        <v>59</v>
      </c>
      <c r="D6" s="8" t="s">
        <v>43</v>
      </c>
      <c r="E6" s="8" t="s">
        <v>36</v>
      </c>
      <c r="F6" s="8">
        <v>775</v>
      </c>
      <c r="G6" s="8" t="s">
        <v>28</v>
      </c>
      <c r="H6" s="8">
        <v>7923</v>
      </c>
      <c r="I6" s="8">
        <v>7148</v>
      </c>
    </row>
    <row r="7" spans="1:9" x14ac:dyDescent="0.3">
      <c r="A7" s="8">
        <v>4</v>
      </c>
      <c r="C7" s="8" t="s">
        <v>59</v>
      </c>
      <c r="D7" s="8" t="s">
        <v>41</v>
      </c>
      <c r="E7" s="8" t="s">
        <v>36</v>
      </c>
      <c r="F7" s="8">
        <v>737</v>
      </c>
      <c r="G7" s="8" t="s">
        <v>28</v>
      </c>
      <c r="H7" s="8">
        <v>7148</v>
      </c>
      <c r="I7" s="8">
        <v>6411</v>
      </c>
    </row>
    <row r="8" spans="1:9" x14ac:dyDescent="0.3">
      <c r="A8" s="8">
        <v>5</v>
      </c>
      <c r="C8" s="8" t="s">
        <v>59</v>
      </c>
      <c r="D8" s="8" t="s">
        <v>34</v>
      </c>
      <c r="E8" s="8" t="s">
        <v>36</v>
      </c>
      <c r="F8" s="8">
        <v>506</v>
      </c>
      <c r="G8" s="8" t="s">
        <v>28</v>
      </c>
      <c r="H8" s="8">
        <v>6411</v>
      </c>
      <c r="I8" s="8">
        <v>5905</v>
      </c>
    </row>
    <row r="9" spans="1:9" x14ac:dyDescent="0.3">
      <c r="A9" s="8">
        <v>6</v>
      </c>
      <c r="C9" s="8" t="s">
        <v>59</v>
      </c>
      <c r="D9" s="8" t="s">
        <v>40</v>
      </c>
      <c r="E9" s="8" t="s">
        <v>36</v>
      </c>
      <c r="F9" s="8">
        <v>473</v>
      </c>
      <c r="G9" s="8" t="s">
        <v>28</v>
      </c>
      <c r="H9" s="8">
        <v>5905</v>
      </c>
      <c r="I9" s="8">
        <v>5432</v>
      </c>
    </row>
    <row r="10" spans="1:9" x14ac:dyDescent="0.3">
      <c r="A10" s="8">
        <v>7</v>
      </c>
      <c r="C10" s="8" t="s">
        <v>59</v>
      </c>
      <c r="D10" s="8" t="s">
        <v>38</v>
      </c>
      <c r="E10" s="8" t="s">
        <v>36</v>
      </c>
      <c r="F10" s="8">
        <v>440</v>
      </c>
      <c r="G10" s="8" t="s">
        <v>28</v>
      </c>
      <c r="H10" s="8">
        <v>5432</v>
      </c>
      <c r="I10" s="8">
        <v>4992</v>
      </c>
    </row>
    <row r="11" spans="1:9" x14ac:dyDescent="0.3">
      <c r="A11" s="8">
        <v>8</v>
      </c>
      <c r="C11" s="8" t="s">
        <v>59</v>
      </c>
      <c r="D11" s="8" t="s">
        <v>37</v>
      </c>
      <c r="E11" s="8" t="s">
        <v>36</v>
      </c>
      <c r="F11" s="8">
        <v>385</v>
      </c>
      <c r="G11" s="8" t="s">
        <v>28</v>
      </c>
      <c r="H11" s="8">
        <v>4992</v>
      </c>
      <c r="I11" s="8">
        <v>4607</v>
      </c>
    </row>
    <row r="12" spans="1:9" x14ac:dyDescent="0.3">
      <c r="A12" s="8">
        <v>9</v>
      </c>
      <c r="C12" s="8" t="s">
        <v>59</v>
      </c>
      <c r="D12" s="8" t="s">
        <v>39</v>
      </c>
      <c r="E12" s="8" t="s">
        <v>36</v>
      </c>
      <c r="F12" s="8">
        <v>132</v>
      </c>
      <c r="G12" s="8" t="s">
        <v>28</v>
      </c>
      <c r="H12" s="8">
        <v>4607</v>
      </c>
      <c r="I12" s="8">
        <v>4475</v>
      </c>
    </row>
    <row r="13" spans="1:9" x14ac:dyDescent="0.3">
      <c r="A13" s="9">
        <v>10</v>
      </c>
      <c r="C13" s="9" t="s">
        <v>60</v>
      </c>
      <c r="D13" s="9" t="s">
        <v>45</v>
      </c>
      <c r="E13" s="9" t="s">
        <v>36</v>
      </c>
      <c r="F13" s="9">
        <v>1450</v>
      </c>
      <c r="G13" s="9" t="s">
        <v>28</v>
      </c>
      <c r="H13" s="9">
        <v>4475</v>
      </c>
      <c r="I13" s="9">
        <v>3025</v>
      </c>
    </row>
    <row r="14" spans="1:9" x14ac:dyDescent="0.3">
      <c r="A14" s="9">
        <v>11</v>
      </c>
      <c r="C14" s="9" t="s">
        <v>60</v>
      </c>
      <c r="D14" s="9" t="s">
        <v>47</v>
      </c>
      <c r="E14" s="9" t="s">
        <v>36</v>
      </c>
      <c r="F14" s="9">
        <v>1450</v>
      </c>
      <c r="G14" s="9" t="s">
        <v>28</v>
      </c>
      <c r="H14" s="9">
        <v>3025</v>
      </c>
      <c r="I14" s="9">
        <v>1575</v>
      </c>
    </row>
    <row r="15" spans="1:9" x14ac:dyDescent="0.3">
      <c r="A15" s="9">
        <v>12</v>
      </c>
      <c r="C15" s="9" t="s">
        <v>60</v>
      </c>
      <c r="D15" s="9" t="s">
        <v>48</v>
      </c>
      <c r="E15" s="9" t="s">
        <v>36</v>
      </c>
      <c r="F15" s="9">
        <v>1450</v>
      </c>
      <c r="G15" s="9" t="s">
        <v>28</v>
      </c>
      <c r="H15" s="9">
        <v>1575</v>
      </c>
      <c r="I15" s="19">
        <v>125</v>
      </c>
    </row>
    <row r="16" spans="1:9" x14ac:dyDescent="0.3">
      <c r="A16" s="10">
        <v>13</v>
      </c>
      <c r="B16" s="10" t="s">
        <v>61</v>
      </c>
      <c r="C16" s="10" t="s">
        <v>60</v>
      </c>
      <c r="D16" s="10" t="s">
        <v>44</v>
      </c>
      <c r="E16" s="10" t="s">
        <v>36</v>
      </c>
      <c r="F16" s="10">
        <v>1138</v>
      </c>
      <c r="G16" s="10" t="s">
        <v>24</v>
      </c>
      <c r="H16" s="10">
        <v>10000</v>
      </c>
      <c r="I16" s="10">
        <v>8861</v>
      </c>
    </row>
    <row r="17" spans="1:9" x14ac:dyDescent="0.3">
      <c r="A17" s="9">
        <v>14</v>
      </c>
      <c r="C17" s="9" t="s">
        <v>60</v>
      </c>
      <c r="D17" s="9" t="s">
        <v>42</v>
      </c>
      <c r="E17" s="9" t="s">
        <v>36</v>
      </c>
      <c r="F17" s="9">
        <v>869</v>
      </c>
      <c r="G17" s="9" t="s">
        <v>24</v>
      </c>
      <c r="H17" s="9">
        <v>8861</v>
      </c>
      <c r="I17" s="9">
        <v>7992</v>
      </c>
    </row>
    <row r="18" spans="1:9" x14ac:dyDescent="0.3">
      <c r="A18" s="9">
        <v>15</v>
      </c>
      <c r="C18" s="9" t="s">
        <v>60</v>
      </c>
      <c r="D18" s="9" t="s">
        <v>43</v>
      </c>
      <c r="E18" s="9" t="s">
        <v>36</v>
      </c>
      <c r="F18" s="9">
        <v>775</v>
      </c>
      <c r="G18" s="9" t="s">
        <v>24</v>
      </c>
      <c r="H18" s="9">
        <v>7992</v>
      </c>
      <c r="I18" s="9">
        <v>7217</v>
      </c>
    </row>
    <row r="19" spans="1:9" x14ac:dyDescent="0.3">
      <c r="A19" s="9">
        <v>16</v>
      </c>
      <c r="C19" s="9" t="s">
        <v>60</v>
      </c>
      <c r="D19" s="9" t="s">
        <v>41</v>
      </c>
      <c r="E19" s="9" t="s">
        <v>36</v>
      </c>
      <c r="F19" s="9">
        <v>737</v>
      </c>
      <c r="G19" s="9" t="s">
        <v>24</v>
      </c>
      <c r="H19" s="9">
        <v>7217</v>
      </c>
      <c r="I19" s="9">
        <v>6480</v>
      </c>
    </row>
    <row r="20" spans="1:9" x14ac:dyDescent="0.3">
      <c r="A20" s="9">
        <v>17</v>
      </c>
      <c r="C20" s="9" t="s">
        <v>60</v>
      </c>
      <c r="D20" s="9" t="s">
        <v>34</v>
      </c>
      <c r="E20" s="9" t="s">
        <v>36</v>
      </c>
      <c r="F20" s="9">
        <v>506</v>
      </c>
      <c r="G20" s="9" t="s">
        <v>24</v>
      </c>
      <c r="H20" s="9">
        <v>6480</v>
      </c>
      <c r="I20" s="9">
        <v>5974</v>
      </c>
    </row>
    <row r="21" spans="1:9" x14ac:dyDescent="0.3">
      <c r="A21" s="9">
        <v>18</v>
      </c>
      <c r="C21" s="9" t="s">
        <v>60</v>
      </c>
      <c r="D21" s="9" t="s">
        <v>40</v>
      </c>
      <c r="E21" s="9" t="s">
        <v>36</v>
      </c>
      <c r="F21" s="9">
        <v>473</v>
      </c>
      <c r="G21" s="9" t="s">
        <v>24</v>
      </c>
      <c r="H21" s="9">
        <v>5974</v>
      </c>
      <c r="I21" s="9">
        <v>5501</v>
      </c>
    </row>
    <row r="22" spans="1:9" x14ac:dyDescent="0.3">
      <c r="A22" s="9">
        <v>19</v>
      </c>
      <c r="C22" s="9" t="s">
        <v>60</v>
      </c>
      <c r="D22" s="9" t="s">
        <v>38</v>
      </c>
      <c r="E22" s="9" t="s">
        <v>36</v>
      </c>
      <c r="F22" s="9">
        <v>440</v>
      </c>
      <c r="G22" s="9" t="s">
        <v>24</v>
      </c>
      <c r="H22" s="9">
        <v>5501</v>
      </c>
      <c r="I22" s="9">
        <v>5061</v>
      </c>
    </row>
    <row r="23" spans="1:9" x14ac:dyDescent="0.3">
      <c r="A23" s="9">
        <v>20</v>
      </c>
      <c r="C23" s="9" t="s">
        <v>60</v>
      </c>
      <c r="D23" s="9" t="s">
        <v>37</v>
      </c>
      <c r="E23" s="9" t="s">
        <v>36</v>
      </c>
      <c r="F23" s="9">
        <v>385</v>
      </c>
      <c r="G23" s="9" t="s">
        <v>24</v>
      </c>
      <c r="H23" s="9">
        <v>5061</v>
      </c>
      <c r="I23" s="9">
        <v>4676</v>
      </c>
    </row>
    <row r="24" spans="1:9" x14ac:dyDescent="0.3">
      <c r="A24" s="9">
        <v>21</v>
      </c>
      <c r="C24" s="9" t="s">
        <v>60</v>
      </c>
      <c r="D24" s="9" t="s">
        <v>39</v>
      </c>
      <c r="E24" s="9" t="s">
        <v>36</v>
      </c>
      <c r="F24" s="9">
        <v>132</v>
      </c>
      <c r="G24" s="9" t="s">
        <v>24</v>
      </c>
      <c r="H24" s="9">
        <v>4676</v>
      </c>
      <c r="I24" s="9">
        <v>4544</v>
      </c>
    </row>
    <row r="25" spans="1:9" x14ac:dyDescent="0.3">
      <c r="A25" s="9">
        <v>22</v>
      </c>
      <c r="C25" s="9" t="s">
        <v>60</v>
      </c>
      <c r="D25" s="9" t="s">
        <v>49</v>
      </c>
      <c r="E25" s="9" t="s">
        <v>62</v>
      </c>
      <c r="F25" s="9">
        <v>1000</v>
      </c>
      <c r="G25" s="9" t="s">
        <v>24</v>
      </c>
      <c r="H25" s="9">
        <v>4544</v>
      </c>
      <c r="I25" s="9">
        <v>3544</v>
      </c>
    </row>
    <row r="26" spans="1:9" x14ac:dyDescent="0.3">
      <c r="A26" s="11">
        <v>23</v>
      </c>
      <c r="C26" s="11" t="s">
        <v>63</v>
      </c>
      <c r="D26" s="11" t="s">
        <v>45</v>
      </c>
      <c r="E26" s="11" t="s">
        <v>36</v>
      </c>
      <c r="F26" s="11">
        <v>1450</v>
      </c>
      <c r="G26" s="11" t="s">
        <v>24</v>
      </c>
      <c r="H26" s="11">
        <v>3544</v>
      </c>
      <c r="I26" s="11">
        <v>2094</v>
      </c>
    </row>
    <row r="27" spans="1:9" x14ac:dyDescent="0.3">
      <c r="A27" s="11">
        <v>24</v>
      </c>
      <c r="C27" s="11" t="s">
        <v>63</v>
      </c>
      <c r="D27" s="11" t="s">
        <v>47</v>
      </c>
      <c r="E27" s="11" t="s">
        <v>36</v>
      </c>
      <c r="F27" s="11">
        <v>1450</v>
      </c>
      <c r="G27" s="11" t="s">
        <v>24</v>
      </c>
      <c r="H27" s="11">
        <v>2094</v>
      </c>
      <c r="I27" s="21">
        <v>644</v>
      </c>
    </row>
    <row r="28" spans="1:9" x14ac:dyDescent="0.3">
      <c r="A28" s="10">
        <v>25</v>
      </c>
      <c r="B28" s="10" t="s">
        <v>61</v>
      </c>
      <c r="C28" s="10" t="s">
        <v>63</v>
      </c>
      <c r="D28" s="10" t="s">
        <v>48</v>
      </c>
      <c r="E28" s="10" t="s">
        <v>36</v>
      </c>
      <c r="F28" s="10">
        <v>1450</v>
      </c>
      <c r="G28" s="10" t="s">
        <v>25</v>
      </c>
      <c r="H28" s="10">
        <v>10000</v>
      </c>
      <c r="I28" s="10">
        <v>8550</v>
      </c>
    </row>
    <row r="29" spans="1:9" x14ac:dyDescent="0.3">
      <c r="A29" s="11">
        <v>26</v>
      </c>
      <c r="C29" s="11" t="s">
        <v>63</v>
      </c>
      <c r="D29" s="11" t="s">
        <v>44</v>
      </c>
      <c r="E29" s="11" t="s">
        <v>36</v>
      </c>
      <c r="F29" s="11">
        <v>1138</v>
      </c>
      <c r="G29" s="11" t="s">
        <v>25</v>
      </c>
      <c r="H29" s="11">
        <v>8550</v>
      </c>
      <c r="I29" s="11">
        <v>7411</v>
      </c>
    </row>
    <row r="30" spans="1:9" x14ac:dyDescent="0.3">
      <c r="A30" s="11">
        <v>27</v>
      </c>
      <c r="C30" s="11" t="s">
        <v>63</v>
      </c>
      <c r="D30" s="11" t="s">
        <v>42</v>
      </c>
      <c r="E30" s="11" t="s">
        <v>36</v>
      </c>
      <c r="F30" s="11">
        <v>869</v>
      </c>
      <c r="G30" s="11" t="s">
        <v>25</v>
      </c>
      <c r="H30" s="11">
        <v>7411</v>
      </c>
      <c r="I30" s="11">
        <v>6542</v>
      </c>
    </row>
    <row r="31" spans="1:9" x14ac:dyDescent="0.3">
      <c r="A31" s="11">
        <v>28</v>
      </c>
      <c r="C31" s="11" t="s">
        <v>63</v>
      </c>
      <c r="D31" s="11" t="s">
        <v>43</v>
      </c>
      <c r="E31" s="11" t="s">
        <v>36</v>
      </c>
      <c r="F31" s="11">
        <v>775</v>
      </c>
      <c r="G31" s="11" t="s">
        <v>25</v>
      </c>
      <c r="H31" s="11">
        <v>6542</v>
      </c>
      <c r="I31" s="11">
        <v>5767</v>
      </c>
    </row>
    <row r="32" spans="1:9" x14ac:dyDescent="0.3">
      <c r="A32" s="11">
        <v>29</v>
      </c>
      <c r="C32" s="11" t="s">
        <v>63</v>
      </c>
      <c r="D32" s="11" t="s">
        <v>41</v>
      </c>
      <c r="E32" s="11" t="s">
        <v>36</v>
      </c>
      <c r="F32" s="11">
        <v>737</v>
      </c>
      <c r="G32" s="11" t="s">
        <v>25</v>
      </c>
      <c r="H32" s="11">
        <v>5767</v>
      </c>
      <c r="I32" s="11">
        <v>5030</v>
      </c>
    </row>
    <row r="33" spans="1:9" x14ac:dyDescent="0.3">
      <c r="A33" s="11">
        <v>30</v>
      </c>
      <c r="C33" s="11" t="s">
        <v>63</v>
      </c>
      <c r="D33" s="11" t="s">
        <v>34</v>
      </c>
      <c r="E33" s="11" t="s">
        <v>36</v>
      </c>
      <c r="F33" s="11">
        <v>506</v>
      </c>
      <c r="G33" s="11" t="s">
        <v>25</v>
      </c>
      <c r="H33" s="11">
        <v>5030</v>
      </c>
      <c r="I33" s="11">
        <v>4524</v>
      </c>
    </row>
    <row r="34" spans="1:9" x14ac:dyDescent="0.3">
      <c r="A34" s="11">
        <v>31</v>
      </c>
      <c r="C34" s="11" t="s">
        <v>63</v>
      </c>
      <c r="D34" s="11" t="s">
        <v>40</v>
      </c>
      <c r="E34" s="11" t="s">
        <v>36</v>
      </c>
      <c r="F34" s="11">
        <v>473</v>
      </c>
      <c r="G34" s="11" t="s">
        <v>25</v>
      </c>
      <c r="H34" s="11">
        <v>4524</v>
      </c>
      <c r="I34" s="11">
        <v>4051</v>
      </c>
    </row>
    <row r="35" spans="1:9" x14ac:dyDescent="0.3">
      <c r="A35" s="11">
        <v>32</v>
      </c>
      <c r="C35" s="11" t="s">
        <v>63</v>
      </c>
      <c r="D35" s="11" t="s">
        <v>38</v>
      </c>
      <c r="E35" s="11" t="s">
        <v>36</v>
      </c>
      <c r="F35" s="11">
        <v>440</v>
      </c>
      <c r="G35" s="11" t="s">
        <v>25</v>
      </c>
      <c r="H35" s="11">
        <v>4051</v>
      </c>
      <c r="I35" s="11">
        <v>3611</v>
      </c>
    </row>
    <row r="36" spans="1:9" x14ac:dyDescent="0.3">
      <c r="A36" s="11">
        <v>33</v>
      </c>
      <c r="C36" s="11" t="s">
        <v>63</v>
      </c>
      <c r="D36" s="11" t="s">
        <v>37</v>
      </c>
      <c r="E36" s="11" t="s">
        <v>36</v>
      </c>
      <c r="F36" s="11">
        <v>385</v>
      </c>
      <c r="G36" s="11" t="s">
        <v>25</v>
      </c>
      <c r="H36" s="11">
        <v>3611</v>
      </c>
      <c r="I36" s="11">
        <v>3226</v>
      </c>
    </row>
    <row r="37" spans="1:9" x14ac:dyDescent="0.3">
      <c r="A37" s="11">
        <v>34</v>
      </c>
      <c r="C37" s="11" t="s">
        <v>63</v>
      </c>
      <c r="D37" s="11" t="s">
        <v>39</v>
      </c>
      <c r="E37" s="11" t="s">
        <v>36</v>
      </c>
      <c r="F37" s="11">
        <v>132</v>
      </c>
      <c r="G37" s="11" t="s">
        <v>25</v>
      </c>
      <c r="H37" s="11">
        <v>3226</v>
      </c>
      <c r="I37" s="11">
        <v>3094</v>
      </c>
    </row>
    <row r="38" spans="1:9" x14ac:dyDescent="0.3">
      <c r="A38" s="11">
        <v>35</v>
      </c>
      <c r="C38" s="11" t="s">
        <v>63</v>
      </c>
      <c r="D38" s="11" t="s">
        <v>49</v>
      </c>
      <c r="E38" s="11" t="s">
        <v>62</v>
      </c>
      <c r="F38" s="11">
        <v>1000</v>
      </c>
      <c r="G38" s="11" t="s">
        <v>25</v>
      </c>
      <c r="H38" s="11">
        <v>3094</v>
      </c>
      <c r="I38" s="11">
        <v>2094</v>
      </c>
    </row>
    <row r="39" spans="1:9" x14ac:dyDescent="0.3">
      <c r="A39" s="12">
        <v>36</v>
      </c>
      <c r="C39" s="12" t="s">
        <v>64</v>
      </c>
      <c r="D39" s="12" t="s">
        <v>45</v>
      </c>
      <c r="E39" s="12" t="s">
        <v>36</v>
      </c>
      <c r="F39" s="12">
        <v>1450</v>
      </c>
      <c r="G39" s="12" t="s">
        <v>25</v>
      </c>
      <c r="H39" s="12">
        <v>2094</v>
      </c>
      <c r="I39" s="20">
        <v>644</v>
      </c>
    </row>
    <row r="40" spans="1:9" x14ac:dyDescent="0.3">
      <c r="A40" s="10">
        <v>37</v>
      </c>
      <c r="B40" s="10" t="s">
        <v>61</v>
      </c>
      <c r="C40" s="10" t="s">
        <v>64</v>
      </c>
      <c r="D40" s="10" t="s">
        <v>47</v>
      </c>
      <c r="E40" s="10" t="s">
        <v>36</v>
      </c>
      <c r="F40" s="10">
        <v>1450</v>
      </c>
      <c r="G40" s="10" t="s">
        <v>26</v>
      </c>
      <c r="H40" s="10">
        <v>10000</v>
      </c>
      <c r="I40" s="10">
        <v>8550</v>
      </c>
    </row>
    <row r="41" spans="1:9" x14ac:dyDescent="0.3">
      <c r="A41" s="12">
        <v>38</v>
      </c>
      <c r="C41" s="12" t="s">
        <v>64</v>
      </c>
      <c r="D41" s="12" t="s">
        <v>48</v>
      </c>
      <c r="E41" s="12" t="s">
        <v>36</v>
      </c>
      <c r="F41" s="12">
        <v>1450</v>
      </c>
      <c r="G41" s="12" t="s">
        <v>26</v>
      </c>
      <c r="H41" s="12">
        <v>8550</v>
      </c>
      <c r="I41" s="12">
        <v>7100</v>
      </c>
    </row>
    <row r="42" spans="1:9" x14ac:dyDescent="0.3">
      <c r="A42" s="12">
        <v>39</v>
      </c>
      <c r="C42" s="12" t="s">
        <v>64</v>
      </c>
      <c r="D42" s="12" t="s">
        <v>44</v>
      </c>
      <c r="E42" s="12" t="s">
        <v>36</v>
      </c>
      <c r="F42" s="12">
        <v>1138</v>
      </c>
      <c r="G42" s="12" t="s">
        <v>26</v>
      </c>
      <c r="H42" s="12">
        <v>7100</v>
      </c>
      <c r="I42" s="12">
        <v>5961</v>
      </c>
    </row>
    <row r="43" spans="1:9" x14ac:dyDescent="0.3">
      <c r="A43" s="12">
        <v>40</v>
      </c>
      <c r="C43" s="12" t="s">
        <v>64</v>
      </c>
      <c r="D43" s="12" t="s">
        <v>42</v>
      </c>
      <c r="E43" s="12" t="s">
        <v>36</v>
      </c>
      <c r="F43" s="12">
        <v>869</v>
      </c>
      <c r="G43" s="12" t="s">
        <v>26</v>
      </c>
      <c r="H43" s="12">
        <v>5961</v>
      </c>
      <c r="I43" s="12">
        <v>5092</v>
      </c>
    </row>
    <row r="44" spans="1:9" x14ac:dyDescent="0.3">
      <c r="A44" s="12">
        <v>41</v>
      </c>
      <c r="C44" s="12" t="s">
        <v>64</v>
      </c>
      <c r="D44" s="12" t="s">
        <v>43</v>
      </c>
      <c r="E44" s="12" t="s">
        <v>36</v>
      </c>
      <c r="F44" s="12">
        <v>775</v>
      </c>
      <c r="G44" s="12" t="s">
        <v>26</v>
      </c>
      <c r="H44" s="12">
        <v>5092</v>
      </c>
      <c r="I44" s="12">
        <v>4317</v>
      </c>
    </row>
    <row r="45" spans="1:9" x14ac:dyDescent="0.3">
      <c r="A45" s="12">
        <v>42</v>
      </c>
      <c r="C45" s="12" t="s">
        <v>64</v>
      </c>
      <c r="D45" s="12" t="s">
        <v>41</v>
      </c>
      <c r="E45" s="12" t="s">
        <v>36</v>
      </c>
      <c r="F45" s="12">
        <v>737</v>
      </c>
      <c r="G45" s="12" t="s">
        <v>26</v>
      </c>
      <c r="H45" s="12">
        <v>4317</v>
      </c>
      <c r="I45" s="12">
        <v>3580</v>
      </c>
    </row>
    <row r="46" spans="1:9" x14ac:dyDescent="0.3">
      <c r="A46" s="12">
        <v>43</v>
      </c>
      <c r="C46" s="12" t="s">
        <v>64</v>
      </c>
      <c r="D46" s="12" t="s">
        <v>34</v>
      </c>
      <c r="E46" s="12" t="s">
        <v>36</v>
      </c>
      <c r="F46" s="12">
        <v>506</v>
      </c>
      <c r="G46" s="12" t="s">
        <v>26</v>
      </c>
      <c r="H46" s="12">
        <v>3580</v>
      </c>
      <c r="I46" s="12">
        <v>3074</v>
      </c>
    </row>
    <row r="47" spans="1:9" x14ac:dyDescent="0.3">
      <c r="A47" s="12">
        <v>44</v>
      </c>
      <c r="C47" s="12" t="s">
        <v>64</v>
      </c>
      <c r="D47" s="12" t="s">
        <v>40</v>
      </c>
      <c r="E47" s="12" t="s">
        <v>36</v>
      </c>
      <c r="F47" s="12">
        <v>473</v>
      </c>
      <c r="G47" s="12" t="s">
        <v>26</v>
      </c>
      <c r="H47" s="12">
        <v>3074</v>
      </c>
      <c r="I47" s="12">
        <v>2601</v>
      </c>
    </row>
    <row r="48" spans="1:9" x14ac:dyDescent="0.3">
      <c r="A48" s="12">
        <v>45</v>
      </c>
      <c r="C48" s="12" t="s">
        <v>64</v>
      </c>
      <c r="D48" s="12" t="s">
        <v>38</v>
      </c>
      <c r="E48" s="12" t="s">
        <v>36</v>
      </c>
      <c r="F48" s="12">
        <v>440</v>
      </c>
      <c r="G48" s="12" t="s">
        <v>26</v>
      </c>
      <c r="H48" s="12">
        <v>2601</v>
      </c>
      <c r="I48" s="12">
        <v>2161</v>
      </c>
    </row>
    <row r="49" spans="1:9" x14ac:dyDescent="0.3">
      <c r="A49" s="12">
        <v>46</v>
      </c>
      <c r="C49" s="12" t="s">
        <v>64</v>
      </c>
      <c r="D49" s="12" t="s">
        <v>37</v>
      </c>
      <c r="E49" s="12" t="s">
        <v>36</v>
      </c>
      <c r="F49" s="12">
        <v>385</v>
      </c>
      <c r="G49" s="12" t="s">
        <v>26</v>
      </c>
      <c r="H49" s="12">
        <v>2161</v>
      </c>
      <c r="I49" s="12">
        <v>1776</v>
      </c>
    </row>
    <row r="50" spans="1:9" x14ac:dyDescent="0.3">
      <c r="A50" s="12">
        <v>47</v>
      </c>
      <c r="C50" s="12" t="s">
        <v>64</v>
      </c>
      <c r="D50" s="12" t="s">
        <v>39</v>
      </c>
      <c r="E50" s="12" t="s">
        <v>36</v>
      </c>
      <c r="F50" s="12">
        <v>132</v>
      </c>
      <c r="G50" s="12" t="s">
        <v>26</v>
      </c>
      <c r="H50" s="12">
        <v>1776</v>
      </c>
      <c r="I50" s="12">
        <v>1644</v>
      </c>
    </row>
    <row r="51" spans="1:9" x14ac:dyDescent="0.3">
      <c r="A51" s="12">
        <v>48</v>
      </c>
      <c r="C51" s="12" t="s">
        <v>64</v>
      </c>
      <c r="D51" s="12" t="s">
        <v>49</v>
      </c>
      <c r="E51" s="12" t="s">
        <v>62</v>
      </c>
      <c r="F51" s="12">
        <v>1000</v>
      </c>
      <c r="G51" s="12" t="s">
        <v>26</v>
      </c>
      <c r="H51" s="12">
        <v>1644</v>
      </c>
      <c r="I51" s="20">
        <v>644</v>
      </c>
    </row>
    <row r="52" spans="1:9" x14ac:dyDescent="0.3">
      <c r="A52" s="13">
        <v>49</v>
      </c>
      <c r="C52" s="13" t="s">
        <v>65</v>
      </c>
      <c r="D52" s="13" t="s">
        <v>45</v>
      </c>
      <c r="E52" s="13" t="s">
        <v>36</v>
      </c>
      <c r="F52" s="13">
        <v>1450</v>
      </c>
      <c r="G52" s="13" t="s">
        <v>27</v>
      </c>
      <c r="H52" s="13">
        <v>11000</v>
      </c>
      <c r="I52" s="13">
        <v>9550</v>
      </c>
    </row>
    <row r="53" spans="1:9" x14ac:dyDescent="0.3">
      <c r="A53" s="13">
        <v>50</v>
      </c>
      <c r="C53" s="13" t="s">
        <v>65</v>
      </c>
      <c r="D53" s="13" t="s">
        <v>47</v>
      </c>
      <c r="E53" s="13" t="s">
        <v>36</v>
      </c>
      <c r="F53" s="13">
        <v>1450</v>
      </c>
      <c r="G53" s="13" t="s">
        <v>27</v>
      </c>
      <c r="H53" s="13">
        <v>9550</v>
      </c>
      <c r="I53" s="13">
        <v>8100</v>
      </c>
    </row>
    <row r="54" spans="1:9" x14ac:dyDescent="0.3">
      <c r="A54" s="13">
        <v>51</v>
      </c>
      <c r="C54" s="13" t="s">
        <v>65</v>
      </c>
      <c r="D54" s="13" t="s">
        <v>48</v>
      </c>
      <c r="E54" s="13" t="s">
        <v>36</v>
      </c>
      <c r="F54" s="13">
        <v>1450</v>
      </c>
      <c r="G54" s="13" t="s">
        <v>27</v>
      </c>
      <c r="H54" s="13">
        <v>8100</v>
      </c>
      <c r="I54" s="13">
        <v>6650</v>
      </c>
    </row>
    <row r="55" spans="1:9" x14ac:dyDescent="0.3">
      <c r="A55" s="13">
        <v>52</v>
      </c>
      <c r="C55" s="13" t="s">
        <v>65</v>
      </c>
      <c r="D55" s="13" t="s">
        <v>44</v>
      </c>
      <c r="E55" s="13" t="s">
        <v>36</v>
      </c>
      <c r="F55" s="13">
        <v>1138</v>
      </c>
      <c r="G55" s="13" t="s">
        <v>27</v>
      </c>
      <c r="H55" s="13">
        <v>6650</v>
      </c>
      <c r="I55" s="13">
        <v>5511</v>
      </c>
    </row>
    <row r="56" spans="1:9" x14ac:dyDescent="0.3">
      <c r="A56" s="13">
        <v>53</v>
      </c>
      <c r="C56" s="13" t="s">
        <v>65</v>
      </c>
      <c r="D56" s="13" t="s">
        <v>42</v>
      </c>
      <c r="E56" s="13" t="s">
        <v>36</v>
      </c>
      <c r="F56" s="13">
        <v>869</v>
      </c>
      <c r="G56" s="13" t="s">
        <v>27</v>
      </c>
      <c r="H56" s="13">
        <v>5511</v>
      </c>
      <c r="I56" s="13">
        <v>4642</v>
      </c>
    </row>
    <row r="57" spans="1:9" x14ac:dyDescent="0.3">
      <c r="A57" s="13">
        <v>54</v>
      </c>
      <c r="C57" s="13" t="s">
        <v>65</v>
      </c>
      <c r="D57" s="13" t="s">
        <v>43</v>
      </c>
      <c r="E57" s="13" t="s">
        <v>36</v>
      </c>
      <c r="F57" s="13">
        <v>775</v>
      </c>
      <c r="G57" s="13" t="s">
        <v>27</v>
      </c>
      <c r="H57" s="13">
        <v>4642</v>
      </c>
      <c r="I57" s="13">
        <v>3867</v>
      </c>
    </row>
    <row r="58" spans="1:9" x14ac:dyDescent="0.3">
      <c r="A58" s="13">
        <v>55</v>
      </c>
      <c r="C58" s="13" t="s">
        <v>65</v>
      </c>
      <c r="D58" s="13" t="s">
        <v>41</v>
      </c>
      <c r="E58" s="13" t="s">
        <v>36</v>
      </c>
      <c r="F58" s="13">
        <v>737</v>
      </c>
      <c r="G58" s="13" t="s">
        <v>27</v>
      </c>
      <c r="H58" s="13">
        <v>3867</v>
      </c>
      <c r="I58" s="13">
        <v>3130</v>
      </c>
    </row>
    <row r="59" spans="1:9" x14ac:dyDescent="0.3">
      <c r="A59" s="13">
        <v>56</v>
      </c>
      <c r="C59" s="13" t="s">
        <v>65</v>
      </c>
      <c r="D59" s="13" t="s">
        <v>34</v>
      </c>
      <c r="E59" s="13" t="s">
        <v>36</v>
      </c>
      <c r="F59" s="13">
        <v>506</v>
      </c>
      <c r="G59" s="13" t="s">
        <v>27</v>
      </c>
      <c r="H59" s="13">
        <v>3130</v>
      </c>
      <c r="I59" s="13">
        <v>2624</v>
      </c>
    </row>
    <row r="60" spans="1:9" x14ac:dyDescent="0.3">
      <c r="A60" s="13">
        <v>57</v>
      </c>
      <c r="C60" s="13" t="s">
        <v>65</v>
      </c>
      <c r="D60" s="13" t="s">
        <v>40</v>
      </c>
      <c r="E60" s="13" t="s">
        <v>36</v>
      </c>
      <c r="F60" s="13">
        <v>473</v>
      </c>
      <c r="G60" s="13" t="s">
        <v>27</v>
      </c>
      <c r="H60" s="13">
        <v>2624</v>
      </c>
      <c r="I60" s="13">
        <v>2151</v>
      </c>
    </row>
    <row r="61" spans="1:9" x14ac:dyDescent="0.3">
      <c r="A61" s="13">
        <v>58</v>
      </c>
      <c r="C61" s="13" t="s">
        <v>65</v>
      </c>
      <c r="D61" s="13" t="s">
        <v>38</v>
      </c>
      <c r="E61" s="13" t="s">
        <v>36</v>
      </c>
      <c r="F61" s="13">
        <v>440</v>
      </c>
      <c r="G61" s="13" t="s">
        <v>27</v>
      </c>
      <c r="H61" s="13">
        <v>2151</v>
      </c>
      <c r="I61" s="13">
        <v>1711</v>
      </c>
    </row>
    <row r="62" spans="1:9" x14ac:dyDescent="0.3">
      <c r="A62" s="13">
        <v>59</v>
      </c>
      <c r="C62" s="13" t="s">
        <v>65</v>
      </c>
      <c r="D62" s="13" t="s">
        <v>37</v>
      </c>
      <c r="E62" s="13" t="s">
        <v>36</v>
      </c>
      <c r="F62" s="13">
        <v>385</v>
      </c>
      <c r="G62" s="13" t="s">
        <v>27</v>
      </c>
      <c r="H62" s="13">
        <v>1711</v>
      </c>
      <c r="I62" s="13">
        <v>1326</v>
      </c>
    </row>
    <row r="63" spans="1:9" x14ac:dyDescent="0.3">
      <c r="A63" s="13">
        <v>60</v>
      </c>
      <c r="C63" s="13" t="s">
        <v>65</v>
      </c>
      <c r="D63" s="13" t="s">
        <v>39</v>
      </c>
      <c r="E63" s="13" t="s">
        <v>36</v>
      </c>
      <c r="F63" s="13">
        <v>132</v>
      </c>
      <c r="G63" s="13" t="s">
        <v>27</v>
      </c>
      <c r="H63" s="13">
        <v>1326</v>
      </c>
      <c r="I63" s="13">
        <v>1194</v>
      </c>
    </row>
    <row r="64" spans="1:9" x14ac:dyDescent="0.3">
      <c r="A64" s="13">
        <v>61</v>
      </c>
      <c r="C64" s="13" t="s">
        <v>65</v>
      </c>
      <c r="D64" s="13" t="s">
        <v>49</v>
      </c>
      <c r="E64" s="13" t="s">
        <v>62</v>
      </c>
      <c r="F64" s="13">
        <v>1000</v>
      </c>
      <c r="G64" s="13" t="s">
        <v>27</v>
      </c>
      <c r="H64" s="13">
        <v>1194</v>
      </c>
      <c r="I64" s="18">
        <v>194</v>
      </c>
    </row>
    <row r="70" spans="6:10" ht="15" thickBot="1" x14ac:dyDescent="0.35">
      <c r="G70" s="9">
        <v>1450</v>
      </c>
      <c r="H70" s="11">
        <v>1450</v>
      </c>
      <c r="I70" s="12">
        <v>1450</v>
      </c>
      <c r="J70" s="13">
        <v>1450</v>
      </c>
    </row>
    <row r="71" spans="6:10" ht="15" thickBot="1" x14ac:dyDescent="0.35">
      <c r="G71" s="9">
        <v>1450</v>
      </c>
      <c r="H71" s="11">
        <v>1450</v>
      </c>
      <c r="I71" s="10">
        <v>1450</v>
      </c>
      <c r="J71" s="13">
        <v>1450</v>
      </c>
    </row>
    <row r="72" spans="6:10" ht="15" thickBot="1" x14ac:dyDescent="0.35">
      <c r="G72" s="9">
        <v>1450</v>
      </c>
      <c r="H72" s="10">
        <v>1450</v>
      </c>
      <c r="I72" s="12">
        <v>1450</v>
      </c>
      <c r="J72" s="13">
        <v>1450</v>
      </c>
    </row>
    <row r="73" spans="6:10" ht="15" thickBot="1" x14ac:dyDescent="0.35">
      <c r="F73" s="8">
        <v>1138</v>
      </c>
      <c r="G73" s="10">
        <v>1138</v>
      </c>
      <c r="H73" s="11">
        <v>1138</v>
      </c>
      <c r="I73" s="12">
        <v>1138</v>
      </c>
      <c r="J73" s="13">
        <v>1138</v>
      </c>
    </row>
    <row r="74" spans="6:10" x14ac:dyDescent="0.3">
      <c r="F74" s="8">
        <v>869</v>
      </c>
      <c r="G74" s="9">
        <v>869</v>
      </c>
      <c r="H74" s="11">
        <v>869</v>
      </c>
      <c r="I74" s="12">
        <v>869</v>
      </c>
      <c r="J74" s="13">
        <v>869</v>
      </c>
    </row>
    <row r="75" spans="6:10" x14ac:dyDescent="0.3">
      <c r="F75" s="8">
        <v>775</v>
      </c>
      <c r="G75" s="9">
        <v>775</v>
      </c>
      <c r="H75" s="11">
        <v>775</v>
      </c>
      <c r="I75" s="12">
        <v>775</v>
      </c>
      <c r="J75" s="13">
        <v>775</v>
      </c>
    </row>
    <row r="76" spans="6:10" x14ac:dyDescent="0.3">
      <c r="F76" s="8">
        <v>737</v>
      </c>
      <c r="G76" s="9">
        <v>737</v>
      </c>
      <c r="H76" s="11">
        <v>737</v>
      </c>
      <c r="I76" s="12">
        <v>737</v>
      </c>
      <c r="J76" s="13">
        <v>737</v>
      </c>
    </row>
    <row r="77" spans="6:10" x14ac:dyDescent="0.3">
      <c r="F77" s="8">
        <v>506</v>
      </c>
      <c r="G77" s="9">
        <v>506</v>
      </c>
      <c r="H77" s="11">
        <v>506</v>
      </c>
      <c r="I77" s="12">
        <v>506</v>
      </c>
      <c r="J77" s="13">
        <v>506</v>
      </c>
    </row>
    <row r="78" spans="6:10" x14ac:dyDescent="0.3">
      <c r="F78" s="8">
        <v>473</v>
      </c>
      <c r="G78" s="9">
        <v>473</v>
      </c>
      <c r="H78" s="11">
        <v>473</v>
      </c>
      <c r="I78" s="12">
        <v>473</v>
      </c>
      <c r="J78" s="13">
        <v>473</v>
      </c>
    </row>
    <row r="79" spans="6:10" x14ac:dyDescent="0.3">
      <c r="F79" s="8">
        <v>440</v>
      </c>
      <c r="G79" s="9">
        <v>440</v>
      </c>
      <c r="H79" s="11">
        <v>440</v>
      </c>
      <c r="I79" s="12">
        <v>440</v>
      </c>
      <c r="J79" s="13">
        <v>440</v>
      </c>
    </row>
    <row r="80" spans="6:10" x14ac:dyDescent="0.3">
      <c r="F80" s="8">
        <v>385</v>
      </c>
      <c r="G80" s="9">
        <v>385</v>
      </c>
      <c r="H80" s="11">
        <v>385</v>
      </c>
      <c r="I80" s="12">
        <v>385</v>
      </c>
      <c r="J80" s="13">
        <v>385</v>
      </c>
    </row>
    <row r="81" spans="6:10" x14ac:dyDescent="0.3">
      <c r="F81" s="8">
        <v>132</v>
      </c>
      <c r="G81" s="9">
        <v>132</v>
      </c>
      <c r="H81" s="11">
        <v>132</v>
      </c>
      <c r="I81" s="12">
        <v>132</v>
      </c>
      <c r="J81" s="13">
        <v>132</v>
      </c>
    </row>
    <row r="82" spans="6:10" x14ac:dyDescent="0.3">
      <c r="G82" s="9">
        <v>1000</v>
      </c>
      <c r="H82" s="11">
        <v>1000</v>
      </c>
      <c r="I82" s="12">
        <v>1000</v>
      </c>
      <c r="J82" s="13">
        <v>1000</v>
      </c>
    </row>
  </sheetData>
  <autoFilter ref="A1:I6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H16" sqref="H16"/>
    </sheetView>
  </sheetViews>
  <sheetFormatPr defaultRowHeight="14.4" x14ac:dyDescent="0.3"/>
  <cols>
    <col min="1" max="1" width="25" customWidth="1"/>
    <col min="2" max="2" width="14" customWidth="1"/>
    <col min="3" max="3" width="19" customWidth="1"/>
    <col min="4" max="4" width="14" customWidth="1"/>
    <col min="5" max="5" width="18" customWidth="1"/>
  </cols>
  <sheetData>
    <row r="1" spans="1:5" ht="16.8" x14ac:dyDescent="0.3">
      <c r="A1" s="1" t="s">
        <v>66</v>
      </c>
    </row>
    <row r="3" spans="1:5" x14ac:dyDescent="0.3">
      <c r="A3" s="4" t="s">
        <v>22</v>
      </c>
      <c r="B3" s="4" t="s">
        <v>67</v>
      </c>
      <c r="C3" s="4" t="s">
        <v>68</v>
      </c>
      <c r="D3" s="4" t="s">
        <v>69</v>
      </c>
      <c r="E3" s="4" t="s">
        <v>70</v>
      </c>
    </row>
    <row r="4" spans="1:5" x14ac:dyDescent="0.3">
      <c r="A4" s="14" t="s">
        <v>24</v>
      </c>
      <c r="B4" s="14">
        <v>10000</v>
      </c>
      <c r="C4" s="14">
        <v>9356</v>
      </c>
      <c r="D4" s="14">
        <v>644</v>
      </c>
      <c r="E4" s="14">
        <v>93.6</v>
      </c>
    </row>
    <row r="5" spans="1:5" x14ac:dyDescent="0.3">
      <c r="A5" s="14" t="s">
        <v>25</v>
      </c>
      <c r="B5" s="14">
        <v>10000</v>
      </c>
      <c r="C5" s="14">
        <v>9356</v>
      </c>
      <c r="D5" s="14">
        <v>644</v>
      </c>
      <c r="E5" s="14">
        <v>93.6</v>
      </c>
    </row>
    <row r="6" spans="1:5" x14ac:dyDescent="0.3">
      <c r="A6" s="14" t="s">
        <v>26</v>
      </c>
      <c r="B6" s="14">
        <v>10000</v>
      </c>
      <c r="C6" s="14">
        <v>9356</v>
      </c>
      <c r="D6" s="14">
        <v>644</v>
      </c>
      <c r="E6" s="14">
        <v>93.6</v>
      </c>
    </row>
    <row r="7" spans="1:5" x14ac:dyDescent="0.3">
      <c r="A7" s="15" t="s">
        <v>27</v>
      </c>
      <c r="B7" s="15">
        <v>11000</v>
      </c>
      <c r="C7" s="15">
        <v>10806</v>
      </c>
      <c r="D7" s="15">
        <v>194</v>
      </c>
      <c r="E7" s="15">
        <v>98.2</v>
      </c>
    </row>
    <row r="8" spans="1:5" x14ac:dyDescent="0.3">
      <c r="A8" s="15" t="s">
        <v>28</v>
      </c>
      <c r="B8" s="15">
        <v>9931</v>
      </c>
      <c r="C8" s="15">
        <v>9806</v>
      </c>
      <c r="D8" s="15">
        <v>125</v>
      </c>
      <c r="E8" s="15">
        <v>98.7</v>
      </c>
    </row>
    <row r="9" spans="1:5" x14ac:dyDescent="0.3">
      <c r="A9" s="16" t="s">
        <v>71</v>
      </c>
      <c r="B9" s="17">
        <f>SUM(B4:B8)</f>
        <v>50931</v>
      </c>
      <c r="C9" s="17">
        <f>SUM(C4:C8)</f>
        <v>48680</v>
      </c>
      <c r="D9" s="17">
        <f>SUM(D4:D8)</f>
        <v>2251</v>
      </c>
      <c r="E9" s="17">
        <f>SUM(E4:E8)</f>
        <v>477.69999999999993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0. Сводка</vt:lpstr>
      <vt:lpstr>1. Данные</vt:lpstr>
      <vt:lpstr>2. Инструкция</vt:lpstr>
      <vt:lpstr>3.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2026-03-15T00:06:30Z</dcterms:created>
  <dcterms:modified xsi:type="dcterms:W3CDTF">2026-03-15T00:14:02Z</dcterms:modified>
</cp:coreProperties>
</file>