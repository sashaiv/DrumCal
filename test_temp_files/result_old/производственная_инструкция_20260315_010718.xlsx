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60F9B28C-8995-4CD8-86B8-3F9098CE29C7}" xr6:coauthVersionLast="47" xr6:coauthVersionMax="47" xr10:uidLastSave="{00000000-0000-0000-0000-000000000000}"/>
  <bookViews>
    <workbookView xWindow="4812" yWindow="0" windowWidth="30960" windowHeight="16656" activeTab="1" xr2:uid="{00000000-000D-0000-FFFF-FFFF00000000}"/>
  </bookViews>
  <sheets>
    <sheet name="1. Исходные данные" sheetId="1" r:id="rId1"/>
    <sheet name="3. Инструкция" sheetId="3" r:id="rId2"/>
    <sheet name="4. Остатки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3" l="1"/>
  <c r="E39" i="3"/>
  <c r="E37" i="3"/>
  <c r="E72" i="3"/>
  <c r="E70" i="3"/>
  <c r="E67" i="3"/>
  <c r="E61" i="3"/>
  <c r="E57" i="3"/>
  <c r="E55" i="3"/>
  <c r="E53" i="3"/>
  <c r="E47" i="3"/>
  <c r="E45" i="3"/>
  <c r="E33" i="3"/>
  <c r="E24" i="3"/>
  <c r="E20" i="3"/>
  <c r="E12" i="3"/>
</calcChain>
</file>

<file path=xl/sharedStrings.xml><?xml version="1.0" encoding="utf-8"?>
<sst xmlns="http://schemas.openxmlformats.org/spreadsheetml/2006/main" count="233" uniqueCount="49">
  <si>
    <t>БАРАБАНЫ С ЖИЛОЙ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</si>
  <si>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</si>
  <si>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</si>
  <si>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</si>
  <si>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</si>
  <si>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</si>
  <si>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</si>
  <si>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</si>
  <si>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 НА КАБЕЛЬ</t>
  </si>
  <si>
    <t>Жильность</t>
  </si>
  <si>
    <t>Цвета</t>
  </si>
  <si>
    <t>Зак.№26, п.10 == КОСМОГЕР Вз-ВБШвнг(А)-LS 5х16мк(N,PE)-1 == 460 м сдача одной длиной</t>
  </si>
  <si>
    <t>5 жил</t>
  </si>
  <si>
    <t>ж/з, синий, чёрный, коричневый, натуральный</t>
  </si>
  <si>
    <t>Зак.№26, п.31 == КОСМОГЕР Вз-ВБШвнг(А)-LS 5х16мк(N,PE)-1 == 670 м сдача макс. длиной</t>
  </si>
  <si>
    <t>Зак.№26, п.37 == КОСМОГЕР Вз-ВБШвнг(А)-LS 5х16мк(N,PE)-1 == 790 м сдача макс. длиной</t>
  </si>
  <si>
    <t>Зак.№26, п.42 == КОСМОГЕР Вз-ВБШвнг(А)-LS 5х16мк(N,PE)-1 == 350 м сдача одной длиной</t>
  </si>
  <si>
    <t>Зак.№26, п.51 == КОСМОГЕР Вз-ВБШвнг(А)-LS 5х16мк(N,PE)-1 == 705 м сдача макс. длиной</t>
  </si>
  <si>
    <t>Зак.№26, п.56 == КОСМОГЕР Вз-ВБШвнг(А)-LS 5х16мк(N,PE)-1 == 1035 м сдача макс. длиной</t>
  </si>
  <si>
    <t>Зак.№26, п.53 == КОСМОГЕР Вз-ВВГнг(А)-LS 5х16мк(N,PE)-1  == 400 м сдача одной длиной</t>
  </si>
  <si>
    <t>Зак.№26, п.88 == КОСМОГЕР Вз-ВВГнг(А)-LS 5х16мк(N,PE)-1  == 120 м сдача одной длиной</t>
  </si>
  <si>
    <t>Зак.№26, п.30 == КОСМОСИЛ-НН ВБШвнг(А)-LS 5х16мк(N,РЕ)-1  == 430 м сдача одной длиной</t>
  </si>
  <si>
    <t>Зак.№26, п.14 == КОСМОГЕР Вз-ВБШвнг(А)-LS 4х16мк(N)-1  == 7855 м сдача макс. длинами</t>
  </si>
  <si>
    <t>4 жил</t>
  </si>
  <si>
    <t>синий, чёрный, коричневый, натуральный</t>
  </si>
  <si>
    <t>ПОШАГОВАЯ ПРОИЗВОДСТВЕННАЯ ИНСТРУКЦИЯ</t>
  </si>
  <si>
    <t>№</t>
  </si>
  <si>
    <t>Цвет</t>
  </si>
  <si>
    <t>Заказ</t>
  </si>
  <si>
    <t>Длина заказа (м)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</si>
  <si>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</si>
  <si>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</si>
  <si>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</si>
  <si>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</si>
  <si>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</si>
  <si>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коричневый</t>
  </si>
  <si>
    <t>натуральный</t>
  </si>
  <si>
    <t>синий</t>
  </si>
  <si>
    <t>чёрный</t>
  </si>
  <si>
    <t>ОСТАТКИ НА БАРАБАНАХ</t>
  </si>
  <si>
    <t>Всего (м)</t>
  </si>
  <si>
    <t>Использовано (м)</t>
  </si>
  <si>
    <t>Остаток (м)</t>
  </si>
  <si>
    <t>Использование (%)</t>
  </si>
  <si>
    <t>100.0%</t>
  </si>
  <si>
    <t>99.9%</t>
  </si>
  <si>
    <t>99.2%</t>
  </si>
  <si>
    <t>99.6%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</si>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</sst>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2"/>
      <name val="Calibri"/>
      <family val="2"/>
      <charset val="204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  <font>
      <b/>
      <u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/>
    <xf numFmtId="0" fontId="5" fillId="0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A9" sqref="A9"/>
    </sheetView>
  </sheetViews>
  <sheetFormatPr defaultRowHeight="14.4" x14ac:dyDescent="0.3"/>
  <cols>
    <col min="1" max="1" width="82.44140625" bestFit="1" customWidth="1"/>
    <col min="2" max="3" width="11" customWidth="1"/>
    <col min="4" max="4" width="45" customWidth="1"/>
  </cols>
  <sheetData>
    <row r="1" spans="1:4" ht="15.6" x14ac:dyDescent="0.3">
      <c r="A1" s="1" t="s">
        <v>0</v>
      </c>
    </row>
    <row r="2" spans="1:4" x14ac:dyDescent="0.3">
      <c r="A2" s="2" t="s">
        <v>1</v>
      </c>
      <c r="B2" s="2" t="s">
        <v>2</v>
      </c>
    </row>
    <row r="3" spans="1:4" x14ac:dyDescent="0.3">
      <c r="A3" s="3" t="s">
        <v>3</v>
      </c>
      <c r="B3" s="3">
        <v>10000</v>
      </c>
    </row>
    <row r="4" spans="1:4" x14ac:dyDescent="0.3">
      <c r="A4" s="3" t="s">
        <v>4</v>
      </c>
      <c r="B4" s="3">
        <v>10000</v>
      </c>
    </row>
    <row r="5" spans="1:4" x14ac:dyDescent="0.3">
      <c r="A5" s="3" t="s">
        <v>5</v>
      </c>
      <c r="B5" s="3">
        <v>10000</v>
      </c>
    </row>
    <row r="6" spans="1:4" x14ac:dyDescent="0.3">
      <c r="A6" s="3" t="s">
        <v>6</v>
      </c>
      <c r="B6" s="3">
        <v>11000</v>
      </c>
    </row>
    <row r="7" spans="1:4" x14ac:dyDescent="0.3">
      <c r="A7" s="3" t="s">
        <v>7</v>
      </c>
      <c r="B7" s="3">
        <v>9931</v>
      </c>
    </row>
    <row r="11" spans="1:4" ht="15.6" x14ac:dyDescent="0.3">
      <c r="A11" s="1" t="s">
        <v>8</v>
      </c>
      <c r="B11" s="4" t="s">
        <v>2</v>
      </c>
      <c r="C11" s="4" t="s">
        <v>9</v>
      </c>
      <c r="D11" s="4" t="s">
        <v>10</v>
      </c>
    </row>
    <row r="12" spans="1:4" x14ac:dyDescent="0.3">
      <c r="A12" s="3" t="s">
        <v>11</v>
      </c>
      <c r="B12" s="3">
        <v>506</v>
      </c>
      <c r="C12" s="3" t="s">
        <v>12</v>
      </c>
      <c r="D12" s="3" t="s">
        <v>13</v>
      </c>
    </row>
    <row r="13" spans="1:4" x14ac:dyDescent="0.3">
      <c r="A13" s="3" t="s">
        <v>14</v>
      </c>
      <c r="B13" s="3">
        <v>737</v>
      </c>
      <c r="C13" s="3" t="s">
        <v>12</v>
      </c>
      <c r="D13" s="3" t="s">
        <v>13</v>
      </c>
    </row>
    <row r="14" spans="1:4" x14ac:dyDescent="0.3">
      <c r="A14" s="3" t="s">
        <v>15</v>
      </c>
      <c r="B14" s="3">
        <v>869</v>
      </c>
      <c r="C14" s="3" t="s">
        <v>12</v>
      </c>
      <c r="D14" s="3" t="s">
        <v>13</v>
      </c>
    </row>
    <row r="15" spans="1:4" x14ac:dyDescent="0.3">
      <c r="A15" s="3" t="s">
        <v>16</v>
      </c>
      <c r="B15" s="3">
        <v>385</v>
      </c>
      <c r="C15" s="3" t="s">
        <v>12</v>
      </c>
      <c r="D15" s="3" t="s">
        <v>13</v>
      </c>
    </row>
    <row r="16" spans="1:4" x14ac:dyDescent="0.3">
      <c r="A16" s="3" t="s">
        <v>17</v>
      </c>
      <c r="B16" s="3">
        <v>775</v>
      </c>
      <c r="C16" s="3" t="s">
        <v>12</v>
      </c>
      <c r="D16" s="3" t="s">
        <v>13</v>
      </c>
    </row>
    <row r="17" spans="1:4" x14ac:dyDescent="0.3">
      <c r="A17" s="3" t="s">
        <v>18</v>
      </c>
      <c r="B17" s="3">
        <v>1138</v>
      </c>
      <c r="C17" s="3" t="s">
        <v>12</v>
      </c>
      <c r="D17" s="3" t="s">
        <v>13</v>
      </c>
    </row>
    <row r="18" spans="1:4" x14ac:dyDescent="0.3">
      <c r="A18" s="3" t="s">
        <v>19</v>
      </c>
      <c r="B18" s="3">
        <v>440</v>
      </c>
      <c r="C18" s="3" t="s">
        <v>12</v>
      </c>
      <c r="D18" s="3" t="s">
        <v>13</v>
      </c>
    </row>
    <row r="19" spans="1:4" x14ac:dyDescent="0.3">
      <c r="A19" s="3" t="s">
        <v>20</v>
      </c>
      <c r="B19" s="3">
        <v>132</v>
      </c>
      <c r="C19" s="3" t="s">
        <v>12</v>
      </c>
      <c r="D19" s="3" t="s">
        <v>13</v>
      </c>
    </row>
    <row r="20" spans="1:4" x14ac:dyDescent="0.3">
      <c r="A20" s="3" t="s">
        <v>21</v>
      </c>
      <c r="B20" s="3">
        <v>473</v>
      </c>
      <c r="C20" s="3" t="s">
        <v>12</v>
      </c>
      <c r="D20" s="3" t="s">
        <v>13</v>
      </c>
    </row>
    <row r="21" spans="1:4" x14ac:dyDescent="0.3">
      <c r="A21" s="3" t="s">
        <v>22</v>
      </c>
      <c r="B21" s="3">
        <v>2950</v>
      </c>
      <c r="C21" s="3" t="s">
        <v>23</v>
      </c>
      <c r="D21" s="3" t="s">
        <v>24</v>
      </c>
    </row>
    <row r="22" spans="1:4" x14ac:dyDescent="0.3">
      <c r="A22" s="3" t="s">
        <v>22</v>
      </c>
      <c r="B22" s="3">
        <v>2930</v>
      </c>
      <c r="C22" s="3" t="s">
        <v>23</v>
      </c>
      <c r="D22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abSelected="1" topLeftCell="A37" workbookViewId="0">
      <selection activeCell="E33" sqref="E33"/>
    </sheetView>
  </sheetViews>
  <sheetFormatPr defaultRowHeight="14.4" x14ac:dyDescent="0.3"/>
  <cols>
    <col min="1" max="1" width="6" customWidth="1"/>
    <col min="2" max="2" width="13" customWidth="1"/>
    <col min="3" max="3" width="82.44140625" bestFit="1" customWidth="1"/>
    <col min="4" max="4" width="18" customWidth="1"/>
    <col min="5" max="5" width="17" customWidth="1"/>
    <col min="6" max="6" width="18" customWidth="1"/>
    <col min="7" max="7" width="22" customWidth="1"/>
    <col min="8" max="8" width="26" customWidth="1"/>
    <col min="9" max="9" width="15.21875" customWidth="1"/>
  </cols>
  <sheetData>
    <row r="1" spans="1:8" ht="18" x14ac:dyDescent="0.3">
      <c r="A1" s="5" t="s">
        <v>25</v>
      </c>
    </row>
    <row r="2" spans="1:8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spans="1:8" x14ac:dyDescent="0.3">
      <c r="A3" s="6">
        <v>1</v>
      </c>
      <c r="B3" s="6" t="s">
        <v>34</v>
      </c>
      <c r="C3" s="6" t="s">
        <v>11</v>
      </c>
      <c r="D3" s="6">
        <v>506</v>
      </c>
      <c r="E3" s="6">
        <v>506</v>
      </c>
      <c r="F3" s="6" t="s">
        <v>3</v>
      </c>
      <c r="G3" s="6">
        <v>10000</v>
      </c>
      <c r="H3" s="6">
        <v>9494</v>
      </c>
    </row>
    <row r="4" spans="1:8" x14ac:dyDescent="0.3">
      <c r="A4" s="6">
        <v>2</v>
      </c>
      <c r="B4" s="6" t="s">
        <v>34</v>
      </c>
      <c r="C4" s="6" t="s">
        <v>14</v>
      </c>
      <c r="D4" s="6">
        <v>737</v>
      </c>
      <c r="E4" s="6">
        <v>737</v>
      </c>
      <c r="F4" s="6" t="s">
        <v>3</v>
      </c>
      <c r="G4" s="6">
        <v>9494</v>
      </c>
      <c r="H4" s="6">
        <v>8757</v>
      </c>
    </row>
    <row r="5" spans="1:8" x14ac:dyDescent="0.3">
      <c r="A5" s="6">
        <v>3</v>
      </c>
      <c r="B5" s="6" t="s">
        <v>34</v>
      </c>
      <c r="C5" s="6" t="s">
        <v>15</v>
      </c>
      <c r="D5" s="6">
        <v>869</v>
      </c>
      <c r="E5" s="6">
        <v>869</v>
      </c>
      <c r="F5" s="6" t="s">
        <v>3</v>
      </c>
      <c r="G5" s="6">
        <v>8757</v>
      </c>
      <c r="H5" s="6">
        <v>7888</v>
      </c>
    </row>
    <row r="6" spans="1:8" x14ac:dyDescent="0.3">
      <c r="A6" s="6">
        <v>4</v>
      </c>
      <c r="B6" s="6" t="s">
        <v>34</v>
      </c>
      <c r="C6" s="6" t="s">
        <v>16</v>
      </c>
      <c r="D6" s="6">
        <v>385</v>
      </c>
      <c r="E6" s="6">
        <v>385</v>
      </c>
      <c r="F6" s="6" t="s">
        <v>3</v>
      </c>
      <c r="G6" s="6">
        <v>7888</v>
      </c>
      <c r="H6" s="6">
        <v>7503</v>
      </c>
    </row>
    <row r="7" spans="1:8" x14ac:dyDescent="0.3">
      <c r="A7" s="6">
        <v>5</v>
      </c>
      <c r="B7" s="6" t="s">
        <v>34</v>
      </c>
      <c r="C7" s="6" t="s">
        <v>17</v>
      </c>
      <c r="D7" s="6">
        <v>775</v>
      </c>
      <c r="E7" s="6">
        <v>775</v>
      </c>
      <c r="F7" s="6" t="s">
        <v>3</v>
      </c>
      <c r="G7" s="6">
        <v>7503</v>
      </c>
      <c r="H7" s="6">
        <v>6727</v>
      </c>
    </row>
    <row r="8" spans="1:8" x14ac:dyDescent="0.3">
      <c r="A8" s="6">
        <v>6</v>
      </c>
      <c r="B8" s="6" t="s">
        <v>34</v>
      </c>
      <c r="C8" s="6" t="s">
        <v>18</v>
      </c>
      <c r="D8" s="6">
        <v>1138</v>
      </c>
      <c r="E8" s="6">
        <v>1138</v>
      </c>
      <c r="F8" s="6" t="s">
        <v>3</v>
      </c>
      <c r="G8" s="6">
        <v>6727</v>
      </c>
      <c r="H8" s="6">
        <v>5589</v>
      </c>
    </row>
    <row r="9" spans="1:8" x14ac:dyDescent="0.3">
      <c r="A9" s="6">
        <v>7</v>
      </c>
      <c r="B9" s="6" t="s">
        <v>34</v>
      </c>
      <c r="C9" s="6" t="s">
        <v>19</v>
      </c>
      <c r="D9" s="6">
        <v>440</v>
      </c>
      <c r="E9" s="6">
        <v>440</v>
      </c>
      <c r="F9" s="6" t="s">
        <v>3</v>
      </c>
      <c r="G9" s="6">
        <v>5589</v>
      </c>
      <c r="H9" s="6">
        <v>5149</v>
      </c>
    </row>
    <row r="10" spans="1:8" x14ac:dyDescent="0.3">
      <c r="A10" s="6">
        <v>8</v>
      </c>
      <c r="B10" s="6" t="s">
        <v>34</v>
      </c>
      <c r="C10" s="6" t="s">
        <v>20</v>
      </c>
      <c r="D10" s="6">
        <v>132</v>
      </c>
      <c r="E10" s="6">
        <v>132</v>
      </c>
      <c r="F10" s="6" t="s">
        <v>3</v>
      </c>
      <c r="G10" s="6">
        <v>5149</v>
      </c>
      <c r="H10" s="6">
        <v>5017</v>
      </c>
    </row>
    <row r="11" spans="1:8" x14ac:dyDescent="0.3">
      <c r="A11" s="6">
        <v>9</v>
      </c>
      <c r="B11" s="6" t="s">
        <v>34</v>
      </c>
      <c r="C11" s="6" t="s">
        <v>21</v>
      </c>
      <c r="D11" s="6">
        <v>473</v>
      </c>
      <c r="E11" s="6">
        <v>473</v>
      </c>
      <c r="F11" s="6" t="s">
        <v>3</v>
      </c>
      <c r="G11" s="6">
        <v>5017</v>
      </c>
      <c r="H11" s="6">
        <v>4544</v>
      </c>
    </row>
    <row r="12" spans="1:8" x14ac:dyDescent="0.3">
      <c r="A12" s="3"/>
      <c r="B12" s="3"/>
      <c r="C12" s="3"/>
      <c r="D12" s="3"/>
      <c r="E12" s="12">
        <f>SUM(E3:E11)</f>
        <v>5455</v>
      </c>
      <c r="F12" s="3"/>
      <c r="G12" s="3"/>
      <c r="H12" s="3"/>
    </row>
    <row r="13" spans="1:8" x14ac:dyDescent="0.3">
      <c r="A13" s="7">
        <v>10</v>
      </c>
      <c r="B13" s="7" t="s">
        <v>35</v>
      </c>
      <c r="C13" s="7" t="s">
        <v>11</v>
      </c>
      <c r="D13" s="7">
        <v>506</v>
      </c>
      <c r="E13" s="7">
        <v>506</v>
      </c>
      <c r="F13" s="7" t="s">
        <v>3</v>
      </c>
      <c r="G13" s="7">
        <v>4544</v>
      </c>
      <c r="H13" s="7">
        <v>4038</v>
      </c>
    </row>
    <row r="14" spans="1:8" x14ac:dyDescent="0.3">
      <c r="A14" s="7">
        <v>11</v>
      </c>
      <c r="B14" s="7" t="s">
        <v>35</v>
      </c>
      <c r="C14" s="7" t="s">
        <v>14</v>
      </c>
      <c r="D14" s="7">
        <v>737</v>
      </c>
      <c r="E14" s="7">
        <v>737</v>
      </c>
      <c r="F14" s="7" t="s">
        <v>3</v>
      </c>
      <c r="G14" s="7">
        <v>4038</v>
      </c>
      <c r="H14" s="7">
        <v>3301</v>
      </c>
    </row>
    <row r="15" spans="1:8" x14ac:dyDescent="0.3">
      <c r="A15" s="7">
        <v>12</v>
      </c>
      <c r="B15" s="7" t="s">
        <v>35</v>
      </c>
      <c r="C15" s="7" t="s">
        <v>15</v>
      </c>
      <c r="D15" s="7">
        <v>869</v>
      </c>
      <c r="E15" s="7">
        <v>869</v>
      </c>
      <c r="F15" s="7" t="s">
        <v>3</v>
      </c>
      <c r="G15" s="7">
        <v>3301</v>
      </c>
      <c r="H15" s="7">
        <v>2432</v>
      </c>
    </row>
    <row r="16" spans="1:8" x14ac:dyDescent="0.3">
      <c r="A16" s="7">
        <v>13</v>
      </c>
      <c r="B16" s="7" t="s">
        <v>35</v>
      </c>
      <c r="C16" s="7" t="s">
        <v>16</v>
      </c>
      <c r="D16" s="7">
        <v>385</v>
      </c>
      <c r="E16" s="7">
        <v>385</v>
      </c>
      <c r="F16" s="7" t="s">
        <v>3</v>
      </c>
      <c r="G16" s="7">
        <v>2432</v>
      </c>
      <c r="H16" s="7">
        <v>2047</v>
      </c>
    </row>
    <row r="17" spans="1:8" x14ac:dyDescent="0.3">
      <c r="A17" s="7">
        <v>14</v>
      </c>
      <c r="B17" s="7" t="s">
        <v>35</v>
      </c>
      <c r="C17" s="7" t="s">
        <v>17</v>
      </c>
      <c r="D17" s="7">
        <v>775</v>
      </c>
      <c r="E17" s="7">
        <v>775</v>
      </c>
      <c r="F17" s="7" t="s">
        <v>3</v>
      </c>
      <c r="G17" s="7">
        <v>2047</v>
      </c>
      <c r="H17" s="7">
        <v>1271</v>
      </c>
    </row>
    <row r="18" spans="1:8" x14ac:dyDescent="0.3">
      <c r="A18" s="7">
        <v>15</v>
      </c>
      <c r="B18" s="7" t="s">
        <v>35</v>
      </c>
      <c r="C18" s="7" t="s">
        <v>18</v>
      </c>
      <c r="D18" s="7">
        <v>1138</v>
      </c>
      <c r="E18" s="7">
        <v>1138</v>
      </c>
      <c r="F18" s="7" t="s">
        <v>3</v>
      </c>
      <c r="G18" s="7">
        <v>1271</v>
      </c>
      <c r="H18" s="7">
        <v>133</v>
      </c>
    </row>
    <row r="19" spans="1:8" x14ac:dyDescent="0.3">
      <c r="A19" s="7">
        <v>17</v>
      </c>
      <c r="B19" s="7" t="s">
        <v>35</v>
      </c>
      <c r="C19" s="7" t="s">
        <v>20</v>
      </c>
      <c r="D19" s="7">
        <v>132</v>
      </c>
      <c r="E19" s="7">
        <v>132</v>
      </c>
      <c r="F19" s="7" t="s">
        <v>3</v>
      </c>
      <c r="G19" s="7">
        <v>133</v>
      </c>
      <c r="H19" s="7">
        <v>1</v>
      </c>
    </row>
    <row r="20" spans="1:8" x14ac:dyDescent="0.3">
      <c r="A20" s="3"/>
      <c r="B20" s="3"/>
      <c r="C20" s="3"/>
      <c r="D20" s="3"/>
      <c r="E20" s="12">
        <f>SUM(E13:E19)</f>
        <v>4542</v>
      </c>
      <c r="F20" s="3"/>
      <c r="G20" s="3"/>
      <c r="H20" s="3"/>
    </row>
    <row r="21" spans="1:8" x14ac:dyDescent="0.3">
      <c r="A21" s="7">
        <v>16</v>
      </c>
      <c r="B21" s="7" t="s">
        <v>35</v>
      </c>
      <c r="C21" s="7" t="s">
        <v>19</v>
      </c>
      <c r="D21" s="7">
        <v>440</v>
      </c>
      <c r="E21" s="7">
        <v>440</v>
      </c>
      <c r="F21" s="7" t="s">
        <v>4</v>
      </c>
      <c r="G21" s="7">
        <v>10000</v>
      </c>
      <c r="H21" s="7">
        <v>9560</v>
      </c>
    </row>
    <row r="22" spans="1:8" x14ac:dyDescent="0.3">
      <c r="A22" s="7">
        <v>18</v>
      </c>
      <c r="B22" s="7" t="s">
        <v>35</v>
      </c>
      <c r="C22" s="7" t="s">
        <v>21</v>
      </c>
      <c r="D22" s="7">
        <v>473</v>
      </c>
      <c r="E22" s="7">
        <v>473</v>
      </c>
      <c r="F22" s="7" t="s">
        <v>4</v>
      </c>
      <c r="G22" s="7">
        <v>9560</v>
      </c>
      <c r="H22" s="7">
        <v>9087</v>
      </c>
    </row>
    <row r="23" spans="1:8" x14ac:dyDescent="0.3">
      <c r="A23" s="7">
        <v>19</v>
      </c>
      <c r="B23" s="7" t="s">
        <v>35</v>
      </c>
      <c r="C23" s="7" t="s">
        <v>22</v>
      </c>
      <c r="D23" s="7">
        <v>2950</v>
      </c>
      <c r="E23" s="7">
        <v>2950</v>
      </c>
      <c r="F23" s="7" t="s">
        <v>4</v>
      </c>
      <c r="G23" s="7">
        <v>9087</v>
      </c>
      <c r="H23" s="7">
        <v>6137</v>
      </c>
    </row>
    <row r="24" spans="1:8" x14ac:dyDescent="0.3">
      <c r="A24" s="3"/>
      <c r="B24" s="3"/>
      <c r="C24" s="3"/>
      <c r="D24" s="3"/>
      <c r="E24" s="12">
        <f>SUM(E21:E23)</f>
        <v>3863</v>
      </c>
      <c r="F24" s="3"/>
      <c r="G24" s="3"/>
      <c r="H24" s="3"/>
    </row>
    <row r="25" spans="1:8" x14ac:dyDescent="0.3">
      <c r="A25" s="7">
        <v>20</v>
      </c>
      <c r="B25" s="7" t="s">
        <v>35</v>
      </c>
      <c r="C25" s="7" t="s">
        <v>22</v>
      </c>
      <c r="D25" s="7">
        <v>2950</v>
      </c>
      <c r="E25" s="7">
        <v>2930</v>
      </c>
      <c r="F25" s="7" t="s">
        <v>4</v>
      </c>
      <c r="G25" s="7">
        <v>6137</v>
      </c>
      <c r="H25" s="7">
        <v>3207</v>
      </c>
    </row>
    <row r="26" spans="1:8" x14ac:dyDescent="0.3">
      <c r="A26" s="3"/>
      <c r="B26" s="3"/>
      <c r="C26" s="3"/>
      <c r="D26" s="3"/>
      <c r="E26" s="12">
        <v>2930</v>
      </c>
      <c r="F26" s="3"/>
      <c r="G26" s="3"/>
      <c r="H26" s="3"/>
    </row>
    <row r="27" spans="1:8" x14ac:dyDescent="0.3">
      <c r="A27" s="8">
        <v>21</v>
      </c>
      <c r="B27" s="8" t="s">
        <v>36</v>
      </c>
      <c r="C27" s="8" t="s">
        <v>11</v>
      </c>
      <c r="D27" s="8">
        <v>506</v>
      </c>
      <c r="E27" s="8">
        <v>506</v>
      </c>
      <c r="F27" s="8" t="s">
        <v>4</v>
      </c>
      <c r="G27" s="8">
        <v>3207</v>
      </c>
      <c r="H27" s="8">
        <v>2701</v>
      </c>
    </row>
    <row r="28" spans="1:8" x14ac:dyDescent="0.3">
      <c r="A28" s="8">
        <v>22</v>
      </c>
      <c r="B28" s="8" t="s">
        <v>36</v>
      </c>
      <c r="C28" s="8" t="s">
        <v>14</v>
      </c>
      <c r="D28" s="8">
        <v>737</v>
      </c>
      <c r="E28" s="8">
        <v>737</v>
      </c>
      <c r="F28" s="8" t="s">
        <v>4</v>
      </c>
      <c r="G28" s="8">
        <v>2701</v>
      </c>
      <c r="H28" s="8">
        <v>1964</v>
      </c>
    </row>
    <row r="29" spans="1:8" x14ac:dyDescent="0.3">
      <c r="A29" s="8">
        <v>23</v>
      </c>
      <c r="B29" s="8" t="s">
        <v>36</v>
      </c>
      <c r="C29" s="8" t="s">
        <v>15</v>
      </c>
      <c r="D29" s="8">
        <v>869</v>
      </c>
      <c r="E29" s="8">
        <v>869</v>
      </c>
      <c r="F29" s="8" t="s">
        <v>4</v>
      </c>
      <c r="G29" s="8">
        <v>1964</v>
      </c>
      <c r="H29" s="8">
        <v>1095</v>
      </c>
    </row>
    <row r="30" spans="1:8" x14ac:dyDescent="0.3">
      <c r="A30" s="8">
        <v>24</v>
      </c>
      <c r="B30" s="8" t="s">
        <v>36</v>
      </c>
      <c r="C30" s="8" t="s">
        <v>16</v>
      </c>
      <c r="D30" s="8">
        <v>385</v>
      </c>
      <c r="E30" s="8">
        <v>385</v>
      </c>
      <c r="F30" s="8" t="s">
        <v>4</v>
      </c>
      <c r="G30" s="8">
        <v>1095</v>
      </c>
      <c r="H30" s="8">
        <v>710</v>
      </c>
    </row>
    <row r="31" spans="1:8" x14ac:dyDescent="0.3">
      <c r="A31" s="8">
        <v>27</v>
      </c>
      <c r="B31" s="8" t="s">
        <v>36</v>
      </c>
      <c r="C31" s="8" t="s">
        <v>19</v>
      </c>
      <c r="D31" s="8">
        <v>440</v>
      </c>
      <c r="E31" s="8">
        <v>440</v>
      </c>
      <c r="F31" s="8" t="s">
        <v>4</v>
      </c>
      <c r="G31" s="8">
        <v>710</v>
      </c>
      <c r="H31" s="8">
        <v>269</v>
      </c>
    </row>
    <row r="32" spans="1:8" x14ac:dyDescent="0.3">
      <c r="A32" s="8">
        <v>28</v>
      </c>
      <c r="B32" s="8" t="s">
        <v>36</v>
      </c>
      <c r="C32" s="8" t="s">
        <v>20</v>
      </c>
      <c r="D32" s="8">
        <v>132</v>
      </c>
      <c r="E32" s="8">
        <v>132</v>
      </c>
      <c r="F32" s="8" t="s">
        <v>4</v>
      </c>
      <c r="G32" s="8">
        <v>269</v>
      </c>
      <c r="H32" s="8">
        <v>137</v>
      </c>
    </row>
    <row r="33" spans="1:8" x14ac:dyDescent="0.3">
      <c r="A33" s="3"/>
      <c r="B33" s="3"/>
      <c r="C33" s="3"/>
      <c r="D33" s="3"/>
      <c r="E33" s="12">
        <f>SUM(E27:E32)</f>
        <v>3069</v>
      </c>
      <c r="F33" s="3"/>
      <c r="G33" s="3"/>
      <c r="H33" s="3"/>
    </row>
    <row r="34" spans="1:8" x14ac:dyDescent="0.3">
      <c r="A34" s="8">
        <v>25</v>
      </c>
      <c r="B34" s="8" t="s">
        <v>36</v>
      </c>
      <c r="C34" s="8" t="s">
        <v>17</v>
      </c>
      <c r="D34" s="8">
        <v>775</v>
      </c>
      <c r="E34" s="8">
        <v>775</v>
      </c>
      <c r="F34" s="8" t="s">
        <v>5</v>
      </c>
      <c r="G34" s="8">
        <v>10000</v>
      </c>
      <c r="H34" s="8">
        <v>9224</v>
      </c>
    </row>
    <row r="35" spans="1:8" x14ac:dyDescent="0.3">
      <c r="A35" s="8">
        <v>26</v>
      </c>
      <c r="B35" s="8" t="s">
        <v>36</v>
      </c>
      <c r="C35" s="8" t="s">
        <v>18</v>
      </c>
      <c r="D35" s="8">
        <v>1138</v>
      </c>
      <c r="E35" s="8">
        <v>1138</v>
      </c>
      <c r="F35" s="8" t="s">
        <v>5</v>
      </c>
      <c r="G35" s="8">
        <v>9224</v>
      </c>
      <c r="H35" s="8">
        <v>8086</v>
      </c>
    </row>
    <row r="36" spans="1:8" x14ac:dyDescent="0.3">
      <c r="A36" s="8">
        <v>29</v>
      </c>
      <c r="B36" s="8" t="s">
        <v>36</v>
      </c>
      <c r="C36" s="8" t="s">
        <v>21</v>
      </c>
      <c r="D36" s="8">
        <v>473</v>
      </c>
      <c r="E36" s="8">
        <v>473</v>
      </c>
      <c r="F36" s="8" t="s">
        <v>5</v>
      </c>
      <c r="G36" s="8">
        <v>8086</v>
      </c>
      <c r="H36" s="8">
        <v>7613</v>
      </c>
    </row>
    <row r="37" spans="1:8" s="14" customFormat="1" x14ac:dyDescent="0.3">
      <c r="A37" s="13"/>
      <c r="B37" s="13"/>
      <c r="C37" s="13"/>
      <c r="D37" s="13"/>
      <c r="E37" s="15">
        <f>SUM(E34:E36)</f>
        <v>2386</v>
      </c>
      <c r="F37" s="13"/>
      <c r="G37" s="13"/>
      <c r="H37" s="13"/>
    </row>
    <row r="38" spans="1:8" x14ac:dyDescent="0.3">
      <c r="A38" s="8">
        <v>30</v>
      </c>
      <c r="B38" s="8" t="s">
        <v>36</v>
      </c>
      <c r="C38" s="8" t="s">
        <v>22</v>
      </c>
      <c r="D38" s="8">
        <v>2950</v>
      </c>
      <c r="E38" s="8">
        <v>2950</v>
      </c>
      <c r="F38" s="8" t="s">
        <v>5</v>
      </c>
      <c r="G38" s="8">
        <v>7613</v>
      </c>
      <c r="H38" s="8">
        <v>4663</v>
      </c>
    </row>
    <row r="39" spans="1:8" s="14" customFormat="1" x14ac:dyDescent="0.3">
      <c r="A39" s="13"/>
      <c r="B39" s="13"/>
      <c r="C39" s="13"/>
      <c r="D39" s="13"/>
      <c r="E39" s="15">
        <f>SUM(E38)</f>
        <v>2950</v>
      </c>
      <c r="F39" s="13"/>
      <c r="G39" s="13"/>
      <c r="H39" s="13"/>
    </row>
    <row r="40" spans="1:8" x14ac:dyDescent="0.3">
      <c r="A40" s="8">
        <v>31</v>
      </c>
      <c r="B40" s="8" t="s">
        <v>36</v>
      </c>
      <c r="C40" s="8" t="s">
        <v>22</v>
      </c>
      <c r="D40" s="8">
        <v>2950</v>
      </c>
      <c r="E40" s="8">
        <v>2930</v>
      </c>
      <c r="F40" s="8" t="s">
        <v>5</v>
      </c>
      <c r="G40" s="8">
        <v>4663</v>
      </c>
      <c r="H40" s="8">
        <v>1733</v>
      </c>
    </row>
    <row r="41" spans="1:8" x14ac:dyDescent="0.3">
      <c r="E41" s="11">
        <f>SUM(E40)</f>
        <v>2930</v>
      </c>
    </row>
    <row r="42" spans="1:8" x14ac:dyDescent="0.3">
      <c r="A42" s="9">
        <v>32</v>
      </c>
      <c r="B42" s="9" t="s">
        <v>37</v>
      </c>
      <c r="C42" s="9" t="s">
        <v>11</v>
      </c>
      <c r="D42" s="9">
        <v>506</v>
      </c>
      <c r="E42" s="9">
        <v>506</v>
      </c>
      <c r="F42" s="9" t="s">
        <v>5</v>
      </c>
      <c r="G42" s="9">
        <v>1733</v>
      </c>
      <c r="H42" s="9">
        <v>1227</v>
      </c>
    </row>
    <row r="43" spans="1:8" x14ac:dyDescent="0.3">
      <c r="A43" s="9">
        <v>33</v>
      </c>
      <c r="B43" s="9" t="s">
        <v>37</v>
      </c>
      <c r="C43" s="9" t="s">
        <v>14</v>
      </c>
      <c r="D43" s="9">
        <v>737</v>
      </c>
      <c r="E43" s="9">
        <v>737</v>
      </c>
      <c r="F43" s="9" t="s">
        <v>5</v>
      </c>
      <c r="G43" s="9">
        <v>1227</v>
      </c>
      <c r="H43" s="9">
        <v>489</v>
      </c>
    </row>
    <row r="44" spans="1:8" x14ac:dyDescent="0.3">
      <c r="A44" s="9">
        <v>35</v>
      </c>
      <c r="B44" s="9" t="s">
        <v>37</v>
      </c>
      <c r="C44" s="9" t="s">
        <v>16</v>
      </c>
      <c r="D44" s="9">
        <v>385</v>
      </c>
      <c r="E44" s="9">
        <v>385</v>
      </c>
      <c r="F44" s="9" t="s">
        <v>5</v>
      </c>
      <c r="G44" s="9">
        <v>489</v>
      </c>
      <c r="H44" s="9">
        <v>104</v>
      </c>
    </row>
    <row r="45" spans="1:8" x14ac:dyDescent="0.3">
      <c r="E45" s="11">
        <f>SUM(E42:E44)</f>
        <v>1628</v>
      </c>
    </row>
    <row r="46" spans="1:8" x14ac:dyDescent="0.3">
      <c r="A46" s="9">
        <v>39</v>
      </c>
      <c r="B46" s="9" t="s">
        <v>37</v>
      </c>
      <c r="C46" s="9" t="s">
        <v>20</v>
      </c>
      <c r="D46" s="9">
        <v>132</v>
      </c>
      <c r="E46" s="9">
        <v>132</v>
      </c>
      <c r="F46" s="9" t="s">
        <v>4</v>
      </c>
      <c r="G46" s="9">
        <v>137</v>
      </c>
      <c r="H46" s="9">
        <v>5</v>
      </c>
    </row>
    <row r="47" spans="1:8" x14ac:dyDescent="0.3">
      <c r="E47" s="11">
        <f>SUM(E46)</f>
        <v>132</v>
      </c>
    </row>
    <row r="48" spans="1:8" x14ac:dyDescent="0.3">
      <c r="A48" s="9">
        <v>34</v>
      </c>
      <c r="B48" s="9" t="s">
        <v>37</v>
      </c>
      <c r="C48" s="9" t="s">
        <v>15</v>
      </c>
      <c r="D48" s="9">
        <v>869</v>
      </c>
      <c r="E48" s="9">
        <v>869</v>
      </c>
      <c r="F48" s="9" t="s">
        <v>6</v>
      </c>
      <c r="G48" s="9">
        <v>11000</v>
      </c>
      <c r="H48" s="9">
        <v>10131</v>
      </c>
    </row>
    <row r="49" spans="1:8" x14ac:dyDescent="0.3">
      <c r="A49" s="9">
        <v>36</v>
      </c>
      <c r="B49" s="9" t="s">
        <v>37</v>
      </c>
      <c r="C49" s="9" t="s">
        <v>17</v>
      </c>
      <c r="D49" s="9">
        <v>775</v>
      </c>
      <c r="E49" s="9">
        <v>775</v>
      </c>
      <c r="F49" s="9" t="s">
        <v>6</v>
      </c>
      <c r="G49" s="9">
        <v>10131</v>
      </c>
      <c r="H49" s="9">
        <v>9355</v>
      </c>
    </row>
    <row r="50" spans="1:8" x14ac:dyDescent="0.3">
      <c r="A50" s="9">
        <v>37</v>
      </c>
      <c r="B50" s="9" t="s">
        <v>37</v>
      </c>
      <c r="C50" s="9" t="s">
        <v>18</v>
      </c>
      <c r="D50" s="9">
        <v>1138</v>
      </c>
      <c r="E50" s="9">
        <v>1138</v>
      </c>
      <c r="F50" s="9" t="s">
        <v>6</v>
      </c>
      <c r="G50" s="9">
        <v>9355</v>
      </c>
      <c r="H50" s="9">
        <v>8217</v>
      </c>
    </row>
    <row r="51" spans="1:8" x14ac:dyDescent="0.3">
      <c r="A51" s="9">
        <v>38</v>
      </c>
      <c r="B51" s="9" t="s">
        <v>37</v>
      </c>
      <c r="C51" s="9" t="s">
        <v>19</v>
      </c>
      <c r="D51" s="9">
        <v>440</v>
      </c>
      <c r="E51" s="9">
        <v>440</v>
      </c>
      <c r="F51" s="9" t="s">
        <v>6</v>
      </c>
      <c r="G51" s="9">
        <v>8217</v>
      </c>
      <c r="H51" s="9">
        <v>7777</v>
      </c>
    </row>
    <row r="52" spans="1:8" x14ac:dyDescent="0.3">
      <c r="A52" s="9">
        <v>40</v>
      </c>
      <c r="B52" s="9" t="s">
        <v>37</v>
      </c>
      <c r="C52" s="9" t="s">
        <v>21</v>
      </c>
      <c r="D52" s="9">
        <v>473</v>
      </c>
      <c r="E52" s="9">
        <v>473</v>
      </c>
      <c r="F52" s="9" t="s">
        <v>6</v>
      </c>
      <c r="G52" s="9">
        <v>7777</v>
      </c>
      <c r="H52" s="9">
        <v>7304</v>
      </c>
    </row>
    <row r="53" spans="1:8" x14ac:dyDescent="0.3">
      <c r="A53" s="3"/>
      <c r="B53" s="3"/>
      <c r="C53" s="3"/>
      <c r="D53" s="3"/>
      <c r="E53" s="12">
        <f>SUM(E48:E52)</f>
        <v>3695</v>
      </c>
      <c r="F53" s="3"/>
      <c r="G53" s="3"/>
      <c r="H53" s="3"/>
    </row>
    <row r="54" spans="1:8" x14ac:dyDescent="0.3">
      <c r="A54" s="9">
        <v>41</v>
      </c>
      <c r="B54" s="9" t="s">
        <v>37</v>
      </c>
      <c r="C54" s="9" t="s">
        <v>22</v>
      </c>
      <c r="D54" s="9">
        <v>2950</v>
      </c>
      <c r="E54" s="9">
        <v>2950</v>
      </c>
      <c r="F54" s="9" t="s">
        <v>6</v>
      </c>
      <c r="G54" s="9">
        <v>7304</v>
      </c>
      <c r="H54" s="9">
        <v>4354</v>
      </c>
    </row>
    <row r="55" spans="1:8" x14ac:dyDescent="0.3">
      <c r="A55" s="3"/>
      <c r="B55" s="3"/>
      <c r="C55" s="3"/>
      <c r="D55" s="3"/>
      <c r="E55" s="12">
        <f>SUM(E54)</f>
        <v>2950</v>
      </c>
      <c r="F55" s="3"/>
      <c r="G55" s="3"/>
      <c r="H55" s="3"/>
    </row>
    <row r="56" spans="1:8" x14ac:dyDescent="0.3">
      <c r="A56" s="9">
        <v>42</v>
      </c>
      <c r="B56" s="9" t="s">
        <v>37</v>
      </c>
      <c r="C56" s="9" t="s">
        <v>22</v>
      </c>
      <c r="D56" s="9">
        <v>2950</v>
      </c>
      <c r="E56" s="9">
        <v>2930</v>
      </c>
      <c r="F56" s="9" t="s">
        <v>6</v>
      </c>
      <c r="G56" s="9">
        <v>4354</v>
      </c>
      <c r="H56" s="9">
        <v>1424</v>
      </c>
    </row>
    <row r="57" spans="1:8" x14ac:dyDescent="0.3">
      <c r="E57" s="11">
        <f>SUM(E56)</f>
        <v>2930</v>
      </c>
    </row>
    <row r="58" spans="1:8" x14ac:dyDescent="0.3">
      <c r="A58" s="10">
        <v>43</v>
      </c>
      <c r="B58" s="10" t="s">
        <v>38</v>
      </c>
      <c r="C58" s="10" t="s">
        <v>11</v>
      </c>
      <c r="D58" s="10">
        <v>506</v>
      </c>
      <c r="E58" s="10">
        <v>506</v>
      </c>
      <c r="F58" s="10" t="s">
        <v>6</v>
      </c>
      <c r="G58" s="10">
        <v>1424</v>
      </c>
      <c r="H58" s="10">
        <v>918</v>
      </c>
    </row>
    <row r="59" spans="1:8" x14ac:dyDescent="0.3">
      <c r="A59" s="10">
        <v>44</v>
      </c>
      <c r="B59" s="10" t="s">
        <v>38</v>
      </c>
      <c r="C59" s="10" t="s">
        <v>14</v>
      </c>
      <c r="D59" s="10">
        <v>737</v>
      </c>
      <c r="E59" s="10">
        <v>737</v>
      </c>
      <c r="F59" s="10" t="s">
        <v>6</v>
      </c>
      <c r="G59" s="10">
        <v>918</v>
      </c>
      <c r="H59" s="10">
        <v>180</v>
      </c>
    </row>
    <row r="60" spans="1:8" x14ac:dyDescent="0.3">
      <c r="A60" s="10">
        <v>50</v>
      </c>
      <c r="B60" s="10" t="s">
        <v>38</v>
      </c>
      <c r="C60" s="10" t="s">
        <v>20</v>
      </c>
      <c r="D60" s="10">
        <v>132</v>
      </c>
      <c r="E60" s="10">
        <v>132</v>
      </c>
      <c r="F60" s="10" t="s">
        <v>6</v>
      </c>
      <c r="G60" s="10">
        <v>180</v>
      </c>
      <c r="H60" s="10">
        <v>48</v>
      </c>
    </row>
    <row r="61" spans="1:8" x14ac:dyDescent="0.3">
      <c r="A61" s="3"/>
      <c r="B61" s="3"/>
      <c r="C61" s="3"/>
      <c r="D61" s="3"/>
      <c r="E61" s="12">
        <f>SUM(E58:E60)</f>
        <v>1375</v>
      </c>
      <c r="F61" s="3"/>
      <c r="G61" s="3"/>
      <c r="H61" s="3"/>
    </row>
    <row r="62" spans="1:8" x14ac:dyDescent="0.3">
      <c r="A62" s="10">
        <v>45</v>
      </c>
      <c r="B62" s="10" t="s">
        <v>38</v>
      </c>
      <c r="C62" s="10" t="s">
        <v>15</v>
      </c>
      <c r="D62" s="10">
        <v>869</v>
      </c>
      <c r="E62" s="10">
        <v>869</v>
      </c>
      <c r="F62" s="10" t="s">
        <v>7</v>
      </c>
      <c r="G62" s="10">
        <v>9931</v>
      </c>
      <c r="H62" s="10">
        <v>9062</v>
      </c>
    </row>
    <row r="63" spans="1:8" x14ac:dyDescent="0.3">
      <c r="A63" s="10">
        <v>46</v>
      </c>
      <c r="B63" s="10" t="s">
        <v>38</v>
      </c>
      <c r="C63" s="10" t="s">
        <v>16</v>
      </c>
      <c r="D63" s="10">
        <v>385</v>
      </c>
      <c r="E63" s="10">
        <v>385</v>
      </c>
      <c r="F63" s="10" t="s">
        <v>7</v>
      </c>
      <c r="G63" s="10">
        <v>9062</v>
      </c>
      <c r="H63" s="10">
        <v>8677</v>
      </c>
    </row>
    <row r="64" spans="1:8" x14ac:dyDescent="0.3">
      <c r="A64" s="10">
        <v>47</v>
      </c>
      <c r="B64" s="10" t="s">
        <v>38</v>
      </c>
      <c r="C64" s="10" t="s">
        <v>17</v>
      </c>
      <c r="D64" s="10">
        <v>775</v>
      </c>
      <c r="E64" s="10">
        <v>775</v>
      </c>
      <c r="F64" s="10" t="s">
        <v>7</v>
      </c>
      <c r="G64" s="10">
        <v>8677</v>
      </c>
      <c r="H64" s="10">
        <v>7901</v>
      </c>
    </row>
    <row r="65" spans="1:9" x14ac:dyDescent="0.3">
      <c r="A65" s="10">
        <v>48</v>
      </c>
      <c r="B65" s="10" t="s">
        <v>38</v>
      </c>
      <c r="C65" s="10" t="s">
        <v>18</v>
      </c>
      <c r="D65" s="10">
        <v>1138</v>
      </c>
      <c r="E65" s="10">
        <v>1138</v>
      </c>
      <c r="F65" s="10" t="s">
        <v>7</v>
      </c>
      <c r="G65" s="10">
        <v>7901</v>
      </c>
      <c r="H65" s="10">
        <v>6763</v>
      </c>
    </row>
    <row r="66" spans="1:9" x14ac:dyDescent="0.3">
      <c r="A66" s="10">
        <v>49</v>
      </c>
      <c r="B66" s="10" t="s">
        <v>38</v>
      </c>
      <c r="C66" s="10" t="s">
        <v>19</v>
      </c>
      <c r="D66" s="10">
        <v>440</v>
      </c>
      <c r="E66" s="10">
        <v>440</v>
      </c>
      <c r="F66" s="10" t="s">
        <v>7</v>
      </c>
      <c r="G66" s="10">
        <v>6763</v>
      </c>
      <c r="H66" s="10">
        <v>6323</v>
      </c>
    </row>
    <row r="67" spans="1:9" x14ac:dyDescent="0.3">
      <c r="E67" s="11">
        <f>SUM(E62:E66)</f>
        <v>3607</v>
      </c>
    </row>
    <row r="68" spans="1:9" x14ac:dyDescent="0.3">
      <c r="A68" s="10">
        <v>51</v>
      </c>
      <c r="B68" s="10" t="s">
        <v>38</v>
      </c>
      <c r="C68" s="10" t="s">
        <v>21</v>
      </c>
      <c r="D68" s="10">
        <v>473</v>
      </c>
      <c r="E68" s="10">
        <v>473</v>
      </c>
      <c r="F68" s="10" t="s">
        <v>7</v>
      </c>
      <c r="G68" s="10">
        <v>6323</v>
      </c>
      <c r="H68" s="10">
        <v>5850</v>
      </c>
    </row>
    <row r="69" spans="1:9" x14ac:dyDescent="0.3">
      <c r="A69" s="10">
        <v>52</v>
      </c>
      <c r="B69" s="10" t="s">
        <v>38</v>
      </c>
      <c r="C69" s="10" t="s">
        <v>22</v>
      </c>
      <c r="D69" s="10">
        <v>2950</v>
      </c>
      <c r="E69" s="10">
        <v>2950</v>
      </c>
      <c r="F69" s="10" t="s">
        <v>7</v>
      </c>
      <c r="G69" s="10">
        <v>5850</v>
      </c>
      <c r="H69" s="10">
        <v>2900</v>
      </c>
    </row>
    <row r="70" spans="1:9" x14ac:dyDescent="0.3">
      <c r="A70" s="3"/>
      <c r="B70" s="3"/>
      <c r="C70" s="3"/>
      <c r="D70" s="3"/>
      <c r="E70" s="12">
        <f>SUM(E68:E69)</f>
        <v>3423</v>
      </c>
      <c r="F70" s="3"/>
      <c r="G70" s="3"/>
      <c r="H70" s="3"/>
    </row>
    <row r="71" spans="1:9" x14ac:dyDescent="0.3">
      <c r="A71" s="10">
        <v>53</v>
      </c>
      <c r="B71" s="10" t="s">
        <v>38</v>
      </c>
      <c r="C71" s="10" t="s">
        <v>22</v>
      </c>
      <c r="D71" s="10">
        <v>2950</v>
      </c>
      <c r="E71" s="10">
        <v>2900</v>
      </c>
      <c r="F71" s="10" t="s">
        <v>7</v>
      </c>
      <c r="G71" s="10">
        <v>2900</v>
      </c>
      <c r="H71" s="10">
        <v>0</v>
      </c>
    </row>
    <row r="72" spans="1:9" x14ac:dyDescent="0.3">
      <c r="E72" s="11">
        <f>SUM(E71)</f>
        <v>2900</v>
      </c>
    </row>
    <row r="73" spans="1:9" x14ac:dyDescent="0.3">
      <c r="A73" s="10">
        <v>54</v>
      </c>
      <c r="B73" s="10" t="s">
        <v>38</v>
      </c>
      <c r="C73" s="10" t="s">
        <v>22</v>
      </c>
      <c r="D73" s="10">
        <v>2950</v>
      </c>
      <c r="E73" s="10">
        <v>30</v>
      </c>
      <c r="F73" s="10" t="s">
        <v>5</v>
      </c>
      <c r="G73" s="10">
        <v>104</v>
      </c>
      <c r="H73" s="10">
        <v>74</v>
      </c>
      <c r="I7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C28" sqref="C28"/>
    </sheetView>
  </sheetViews>
  <sheetFormatPr defaultRowHeight="14.4" x14ac:dyDescent="0.3"/>
  <cols>
    <col min="1" max="1" width="22" customWidth="1"/>
    <col min="2" max="2" width="11" customWidth="1"/>
    <col min="3" max="5" width="19" customWidth="1"/>
  </cols>
  <sheetData>
    <row r="1" spans="1:5" ht="15.6" x14ac:dyDescent="0.3">
      <c r="A1" s="1" t="s">
        <v>39</v>
      </c>
    </row>
    <row r="2" spans="1:5" x14ac:dyDescent="0.3">
      <c r="A2" s="2" t="s">
        <v>1</v>
      </c>
      <c r="B2" s="2" t="s">
        <v>40</v>
      </c>
      <c r="C2" s="2" t="s">
        <v>41</v>
      </c>
      <c r="D2" s="2" t="s">
        <v>42</v>
      </c>
      <c r="E2" s="2" t="s">
        <v>43</v>
      </c>
    </row>
    <row r="3" spans="1:5" x14ac:dyDescent="0.3">
      <c r="A3" s="3" t="s">
        <v>3</v>
      </c>
      <c r="B3" s="3">
        <v>10000</v>
      </c>
      <c r="C3" s="3">
        <v>9999.0000000000018</v>
      </c>
      <c r="D3" s="3">
        <v>0.99999999999818101</v>
      </c>
      <c r="E3" s="3" t="s">
        <v>44</v>
      </c>
    </row>
    <row r="4" spans="1:5" x14ac:dyDescent="0.3">
      <c r="A4" s="3" t="s">
        <v>4</v>
      </c>
      <c r="B4" s="3">
        <v>10000</v>
      </c>
      <c r="C4" s="3">
        <v>9994</v>
      </c>
      <c r="D4" s="3">
        <v>6</v>
      </c>
      <c r="E4" s="3" t="s">
        <v>45</v>
      </c>
    </row>
    <row r="5" spans="1:5" x14ac:dyDescent="0.3">
      <c r="A5" s="3" t="s">
        <v>5</v>
      </c>
      <c r="B5" s="3">
        <v>10000</v>
      </c>
      <c r="C5" s="3">
        <v>9925</v>
      </c>
      <c r="D5" s="3">
        <v>75</v>
      </c>
      <c r="E5" s="3" t="s">
        <v>46</v>
      </c>
    </row>
    <row r="6" spans="1:5" x14ac:dyDescent="0.3">
      <c r="A6" s="3" t="s">
        <v>6</v>
      </c>
      <c r="B6" s="3">
        <v>11000</v>
      </c>
      <c r="C6" s="3">
        <v>10951</v>
      </c>
      <c r="D6" s="3">
        <v>49</v>
      </c>
      <c r="E6" s="3" t="s">
        <v>47</v>
      </c>
    </row>
    <row r="7" spans="1:5" x14ac:dyDescent="0.3">
      <c r="A7" s="3" t="s">
        <v>7</v>
      </c>
      <c r="B7" s="3">
        <v>9931</v>
      </c>
      <c r="C7" s="3">
        <v>9931</v>
      </c>
      <c r="D7">
        <v>0</v>
      </c>
      <c r="E7" s="3" t="s">
        <v>44</v>
      </c>
    </row>
    <row r="9" spans="1:5" x14ac:dyDescent="0.3">
      <c r="A9" s="6">
        <v>506</v>
      </c>
      <c r="B9" s="7">
        <v>506</v>
      </c>
      <c r="C9" s="8">
        <v>506</v>
      </c>
      <c r="D9" s="9">
        <v>506</v>
      </c>
      <c r="E9" s="10">
        <v>506</v>
      </c>
    </row>
    <row r="10" spans="1:5" x14ac:dyDescent="0.3">
      <c r="A10" s="6">
        <v>737</v>
      </c>
      <c r="B10" s="7">
        <v>737</v>
      </c>
      <c r="C10" s="8">
        <v>737</v>
      </c>
      <c r="D10" s="9">
        <v>737</v>
      </c>
      <c r="E10" s="10">
        <v>737</v>
      </c>
    </row>
    <row r="11" spans="1:5" x14ac:dyDescent="0.3">
      <c r="A11" s="6">
        <v>869</v>
      </c>
      <c r="B11" s="7">
        <v>869</v>
      </c>
      <c r="C11" s="8">
        <v>869</v>
      </c>
      <c r="D11" s="9">
        <v>869</v>
      </c>
      <c r="E11" s="10">
        <v>869</v>
      </c>
    </row>
    <row r="12" spans="1:5" x14ac:dyDescent="0.3">
      <c r="A12" s="6">
        <v>385</v>
      </c>
      <c r="B12" s="7">
        <v>385</v>
      </c>
      <c r="C12" s="8">
        <v>385</v>
      </c>
      <c r="D12" s="9">
        <v>385</v>
      </c>
      <c r="E12" s="10">
        <v>385</v>
      </c>
    </row>
    <row r="13" spans="1:5" x14ac:dyDescent="0.3">
      <c r="A13" s="6">
        <v>775</v>
      </c>
      <c r="B13" s="7">
        <v>775</v>
      </c>
      <c r="C13" s="8">
        <v>775</v>
      </c>
      <c r="D13" s="9">
        <v>775</v>
      </c>
      <c r="E13" s="10">
        <v>775</v>
      </c>
    </row>
    <row r="14" spans="1:5" x14ac:dyDescent="0.3">
      <c r="A14" s="6">
        <v>1138</v>
      </c>
      <c r="B14" s="7">
        <v>1138</v>
      </c>
      <c r="C14" s="8">
        <v>1138</v>
      </c>
      <c r="D14" s="9">
        <v>1138</v>
      </c>
      <c r="E14" s="10">
        <v>1138</v>
      </c>
    </row>
    <row r="15" spans="1:5" x14ac:dyDescent="0.3">
      <c r="A15" s="6">
        <v>440</v>
      </c>
      <c r="B15" s="7">
        <v>440</v>
      </c>
      <c r="C15" s="8">
        <v>440</v>
      </c>
      <c r="D15" s="9">
        <v>440</v>
      </c>
      <c r="E15" s="10">
        <v>440</v>
      </c>
    </row>
    <row r="16" spans="1:5" x14ac:dyDescent="0.3">
      <c r="A16" s="6">
        <v>132</v>
      </c>
      <c r="B16" s="7">
        <v>132</v>
      </c>
      <c r="C16" s="8">
        <v>132</v>
      </c>
      <c r="D16" s="9">
        <v>132</v>
      </c>
      <c r="E16" s="10">
        <v>132</v>
      </c>
    </row>
    <row r="17" spans="1:5" x14ac:dyDescent="0.3">
      <c r="A17" s="6">
        <v>473</v>
      </c>
      <c r="B17" s="7">
        <v>473</v>
      </c>
      <c r="C17" s="8">
        <v>473</v>
      </c>
      <c r="D17" s="9">
        <v>473</v>
      </c>
      <c r="E17" s="10">
        <v>473</v>
      </c>
    </row>
    <row r="18" spans="1:5" x14ac:dyDescent="0.3">
      <c r="B18" s="7">
        <v>2950</v>
      </c>
      <c r="C18" s="8">
        <v>2950</v>
      </c>
      <c r="D18" s="9">
        <v>2950</v>
      </c>
      <c r="E18" s="10">
        <v>2950</v>
      </c>
    </row>
    <row r="19" spans="1:5" x14ac:dyDescent="0.3">
      <c r="B19" s="7">
        <v>2930</v>
      </c>
      <c r="C19" s="8">
        <v>2930</v>
      </c>
      <c r="D19" s="9">
        <v>2930</v>
      </c>
      <c r="E19" s="10">
        <v>2900</v>
      </c>
    </row>
    <row r="20" spans="1:5" x14ac:dyDescent="0.3">
      <c r="E20" s="1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Исходные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2026-03-14T22:07:18Z</dcterms:created>
  <dcterms:modified xsi:type="dcterms:W3CDTF">2026-03-14T23:34:38Z</dcterms:modified>
</cp:coreProperties>
</file>