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er\Projects\pthelper\"/>
    </mc:Choice>
  </mc:AlternateContent>
  <xr:revisionPtr revIDLastSave="0" documentId="13_ncr:1_{BE19ECBD-CE43-4B61-A7C3-C9F8C8644392}" xr6:coauthVersionLast="47" xr6:coauthVersionMax="47" xr10:uidLastSave="{00000000-0000-0000-0000-000000000000}"/>
  <bookViews>
    <workbookView xWindow="-120" yWindow="-120" windowWidth="38640" windowHeight="21120" xr2:uid="{08B20D88-FF63-4140-88EB-F211F37C267F}"/>
  </bookViews>
  <sheets>
    <sheet name="Тз" sheetId="2" r:id="rId1"/>
  </sheets>
  <externalReferences>
    <externalReference r:id="rId2"/>
    <externalReference r:id="rId3"/>
  </externalReferences>
  <definedNames>
    <definedName name="Cable_Al_I_1P_Air">#REF!</definedName>
    <definedName name="Cable_Al_I_3P_Air">#REF!</definedName>
    <definedName name="Cable_Al_S">#REF!</definedName>
    <definedName name="Cable_Cu_I_1P_Air">#REF!</definedName>
    <definedName name="Cable_Cu_I_3P_Air">#REF!</definedName>
    <definedName name="Cable_Cu_S">#REF!</definedName>
    <definedName name="CableTypes">[2]Types!$B$3:$C$52,[2]Types!$F$3:$G$52</definedName>
    <definedName name="CB_MCB_In">#REF!</definedName>
    <definedName name="CB_MCCB_In">#REF!</definedName>
    <definedName name="CB_MCCB_Itrip">#REF!</definedName>
    <definedName name="Feeder">#REF!</definedName>
    <definedName name="ZпФ0">#REF!</definedName>
    <definedName name="ZпФ0_CRW">#REF!</definedName>
    <definedName name="ZпФ0_MW">#REF!</definedName>
    <definedName name="Жильность">[2]Types!$C$57:$C$156</definedName>
    <definedName name="Марка">[2]Types!$B$57:$B$156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2" l="1"/>
  <c r="K2" i="2"/>
</calcChain>
</file>

<file path=xl/sharedStrings.xml><?xml version="1.0" encoding="utf-8"?>
<sst xmlns="http://schemas.openxmlformats.org/spreadsheetml/2006/main" count="42" uniqueCount="35">
  <si>
    <t>Марка кабеля</t>
  </si>
  <si>
    <t>Длина заказа, м</t>
  </si>
  <si>
    <t>Кабельный журнал</t>
  </si>
  <si>
    <t>ВБШвнг(А)-LS 3х2,5ок(N,PE)-1</t>
  </si>
  <si>
    <t>ВБШвнг(А)-LS 5х2,5ок(N,PE)-1</t>
  </si>
  <si>
    <t>Правее длины указан кабельный журнал, это значит, что длины должны сдавать конкретно этими отрезками. Пока не нужно никаких запасов, коэффициентов, пока эти длины мы должны получить на скрутке. Бывает, что кабельного журнала нет, тогда распределение проще. Несколько длин из кабельного журнала могут поставляться на одном барабане.</t>
  </si>
  <si>
    <t>Кабель и состав по жилам</t>
  </si>
  <si>
    <t>1.ВБШвнг(А)-LS 3х2,5ок(N,PE)-1</t>
  </si>
  <si>
    <t>1.1.Синяя 2,5ок</t>
  </si>
  <si>
    <t>1.2.Желто-зеленая 2,5ок</t>
  </si>
  <si>
    <t>1.3.Натуральная 2,5ок</t>
  </si>
  <si>
    <t>2.ВБШвнг(А)-LS 5х2,5ок(N,PE)-1</t>
  </si>
  <si>
    <t>2.1.Синяя 2,5ок</t>
  </si>
  <si>
    <t>2.2.Желто-зеленая 2,5ок</t>
  </si>
  <si>
    <t>2.3.Натуральная 2,5ок</t>
  </si>
  <si>
    <t>2.4.Черная 2,5ок</t>
  </si>
  <si>
    <t>2.5.Коричневая 2,5ок</t>
  </si>
  <si>
    <t>Имеющиеся п/ф:</t>
  </si>
  <si>
    <t>ТПЖ 2,5ок</t>
  </si>
  <si>
    <t>Синяя 2,5ок</t>
  </si>
  <si>
    <t>Желто-зеленая 2,5ок</t>
  </si>
  <si>
    <t>Коричневая 2,5ок</t>
  </si>
  <si>
    <t>Намотка кабелей на барабаны</t>
  </si>
  <si>
    <t>Намотки:</t>
  </si>
  <si>
    <t>Длина</t>
  </si>
  <si>
    <t>Намотка жилы на изолировании</t>
  </si>
  <si>
    <t>Намотка скрученной заготовки</t>
  </si>
  <si>
    <t>Минимальная строительная длина</t>
  </si>
  <si>
    <t>(в случае, если нет кабельного журнала)</t>
  </si>
  <si>
    <t>Можно ли спаивать жилы</t>
  </si>
  <si>
    <t>нет</t>
  </si>
  <si>
    <t>Стратегия</t>
  </si>
  <si>
    <t>Экономия, минимальное количество барабанов (отрезков кабелей)</t>
  </si>
  <si>
    <t>Остальные операции не важны пока, важны только изолирование и скрутка, как так тут самые большие сложности.</t>
  </si>
  <si>
    <t>В перечне могу тбыть кабели из других п/ф, других сечений, без кабельных журналов.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</si>
</sst>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sz val="12"/>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8">
    <xf numFmtId="0" fontId="0" fillId="0" borderId="0" xfId="0"/>
    <xf numFmtId="0" fontId="1" fillId="2" borderId="1" xfId="1" applyFill="1" applyBorder="1" applyAlignment="1">
      <alignment horizontal="center" vertical="center" wrapText="1" shrinkToFit="1"/>
    </xf>
    <xf numFmtId="0" fontId="1" fillId="0" borderId="0" xfId="1"/>
    <xf numFmtId="0" fontId="1" fillId="2" borderId="1" xfId="1" applyFill="1" applyBorder="1" applyAlignment="1">
      <alignment horizontal="left" vertical="center" wrapText="1" shrinkToFit="1"/>
    </xf>
    <xf numFmtId="3" fontId="1" fillId="2" borderId="1" xfId="1" applyNumberFormat="1" applyFill="1" applyBorder="1" applyAlignment="1">
      <alignment horizontal="center" vertical="center" wrapText="1" shrinkToFit="1"/>
    </xf>
    <xf numFmtId="3" fontId="1" fillId="0" borderId="0" xfId="1" applyNumberFormat="1"/>
    <xf numFmtId="0" fontId="1" fillId="0" borderId="1" xfId="1" applyBorder="1"/>
    <xf numFmtId="0" fontId="1" fillId="0" borderId="1" xfId="1" applyBorder="1" applyAlignment="1">
      <alignment horizontal="left" vertical="center" wrapText="1" shrinkToFit="1"/>
    </xf>
  </cellXfs>
  <cellStyles count="2">
    <cellStyle name="Обычный" xfId="0" builtinId="0"/>
    <cellStyle name="Обычный 2" xfId="1" xr:uid="{07829F2F-6D70-4798-8AF0-3BAAEB1516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Nextcloud\Ivonin\&#1055;&#1088;&#1086;&#1084;&#1090;&#1077;&#1093;\7.%20&#1047;&#1072;&#1082;&#1072;&#1079;&#1099;\2026\&#1055;&#1059;122025022_&#1042;&#1047;_&#1040;&#1050;&#1042;&#1040;_&#1057;&#1055;33+34+35+36.xlsx" TargetMode="External"/><Relationship Id="rId1" Type="http://schemas.openxmlformats.org/officeDocument/2006/relationships/externalLinkPath" Target="/Users/user/Nextcloud/Ivonin/&#1055;&#1088;&#1086;&#1084;&#1090;&#1077;&#1093;/7.%20&#1047;&#1072;&#1082;&#1072;&#1079;&#1099;/2026/&#1055;&#1059;122025022_&#1042;&#1047;_&#1040;&#1050;&#1042;&#1040;_&#1057;&#1055;33+34+35+3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002_work\&#1055;&#1072;&#1088;&#1090;&#1085;&#1077;&#1088;&#1099;\&#1040;&#1050;&#1042;&#1040;\054_&#1076;&#1086;%20&#1082;&#1072;&#1073;&#1077;&#1083;&#1100;%20&#1080;%20&#1087;&#1088;_24%20&#1080;%2025%20&#1082;&#1074;_&#1050;&#1055;%20635%20(&#1057;&#1055;35%20&#1089;%20&#1084;&#1091;&#1092;&#1090;&#1086;&#1081;)%20&#1080;%20636%20(&#1057;&#1055;36)\&#1050;&#1046;%20&#1076;&#1083;&#1103;%20&#1057;&#1055;%2035-36\GCC-ASP-DDD-00024-02-2400-OEE-CBL-00001-03-BI_&#1057;&#1055;36.xlsx" TargetMode="External"/><Relationship Id="rId1" Type="http://schemas.openxmlformats.org/officeDocument/2006/relationships/externalLinkPath" Target="file:///D:\002_work\&#1055;&#1072;&#1088;&#1090;&#1085;&#1077;&#1088;&#1099;\&#1040;&#1050;&#1042;&#1040;\054_&#1076;&#1086;%20&#1082;&#1072;&#1073;&#1077;&#1083;&#1100;%20&#1080;%20&#1087;&#1088;_24%20&#1080;%2025%20&#1082;&#1074;_&#1050;&#1055;%20635%20(&#1057;&#1055;35%20&#1089;%20&#1084;&#1091;&#1092;&#1090;&#1086;&#1081;)%20&#1080;%20636%20(&#1057;&#1055;36)\&#1050;&#1046;%20&#1076;&#1083;&#1103;%20&#1057;&#1055;%2035-36\GCC-ASP-DDD-00024-02-2400-OEE-CBL-00001-03-BI_&#1057;&#1055;3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ПУ122025022"/>
      <sheetName val="Лист1"/>
      <sheetName val="Бронирование 5х35"/>
      <sheetName val="КЖ СП36"/>
      <sheetName val="КЖ СП33"/>
      <sheetName val="КЖ СП34 +"/>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Name val="Layout"/>
      <sheetName val="LayoutEnd"/>
      <sheetName val="КЖ СП36"/>
      <sheetName val="List"/>
      <sheetName val="Types"/>
      <sheetName val="CAL"/>
    </sheetNames>
    <sheetDataSet>
      <sheetData sheetId="0" refreshError="1"/>
      <sheetData sheetId="1" refreshError="1"/>
      <sheetData sheetId="2" refreshError="1"/>
      <sheetData sheetId="3"/>
      <sheetData sheetId="4" refreshError="1"/>
      <sheetData sheetId="5">
        <row r="3">
          <cell r="B3" t="str">
            <v>Вз-ВБШвнг(А)-LS</v>
          </cell>
          <cell r="C3" t="str">
            <v>3х2,5</v>
          </cell>
          <cell r="F3" t="str">
            <v>1BS10FR-BK</v>
          </cell>
          <cell r="G3" t="str">
            <v>1х3х1,0</v>
          </cell>
        </row>
        <row r="4">
          <cell r="B4" t="str">
            <v>Вз-ВБШвнг(А)-LS</v>
          </cell>
          <cell r="C4" t="str">
            <v>3х4</v>
          </cell>
          <cell r="F4" t="str">
            <v>4AM10LS-BK-N</v>
          </cell>
          <cell r="G4" t="str">
            <v>4x2x0,52</v>
          </cell>
        </row>
        <row r="5">
          <cell r="B5" t="str">
            <v>Вз-ВБШвнг(А)-LS</v>
          </cell>
          <cell r="C5" t="str">
            <v>3х6</v>
          </cell>
        </row>
        <row r="6">
          <cell r="B6" t="str">
            <v>Вз-ВБШвнг(А)-LS</v>
          </cell>
          <cell r="C6" t="str">
            <v>3х10</v>
          </cell>
        </row>
        <row r="14">
          <cell r="B14" t="str">
            <v>Вз-ВБШвнг(А)-LS</v>
          </cell>
          <cell r="C14" t="str">
            <v>5х2,5</v>
          </cell>
        </row>
        <row r="15">
          <cell r="B15" t="str">
            <v>Вз-ВБШвнг(А)-LS</v>
          </cell>
          <cell r="C15" t="str">
            <v>5х6</v>
          </cell>
        </row>
        <row r="16">
          <cell r="B16" t="str">
            <v>Вз-ВБШвнг(А)-LS</v>
          </cell>
          <cell r="C16" t="str">
            <v>5х10</v>
          </cell>
        </row>
        <row r="17">
          <cell r="B17" t="str">
            <v>Вз-ВБШвнг(А)-LS</v>
          </cell>
          <cell r="C17" t="str">
            <v>5х25</v>
          </cell>
        </row>
        <row r="18">
          <cell r="B18" t="str">
            <v>Вз-ВБШвнг(А)-LS</v>
          </cell>
          <cell r="C18" t="str">
            <v>5х50</v>
          </cell>
        </row>
        <row r="19">
          <cell r="B19" t="str">
            <v>Вз-ВБШвнг(А)-LS</v>
          </cell>
          <cell r="C19" t="str">
            <v>5х70</v>
          </cell>
        </row>
        <row r="57">
          <cell r="B57" t="str">
            <v>Вз-ВБШвнг(А)-LS</v>
          </cell>
          <cell r="C57" t="str">
            <v>3х2,5</v>
          </cell>
        </row>
        <row r="58">
          <cell r="B58" t="str">
            <v>Вз-ВБШвнг(А)-LS</v>
          </cell>
          <cell r="C58" t="str">
            <v>3х4</v>
          </cell>
        </row>
        <row r="59">
          <cell r="B59" t="str">
            <v>Вз-ВБШвнг(А)-LS</v>
          </cell>
          <cell r="C59" t="str">
            <v>3х6</v>
          </cell>
        </row>
        <row r="60">
          <cell r="B60" t="str">
            <v>Вз-ВБШвнг(А)-LS</v>
          </cell>
          <cell r="C60" t="str">
            <v>3х10</v>
          </cell>
        </row>
        <row r="61">
          <cell r="B61">
            <v>0</v>
          </cell>
          <cell r="C61">
            <v>0</v>
          </cell>
        </row>
        <row r="62">
          <cell r="B62">
            <v>0</v>
          </cell>
          <cell r="C62">
            <v>0</v>
          </cell>
        </row>
        <row r="63">
          <cell r="B63">
            <v>0</v>
          </cell>
          <cell r="C63">
            <v>0</v>
          </cell>
        </row>
        <row r="64">
          <cell r="B64">
            <v>0</v>
          </cell>
          <cell r="C64">
            <v>0</v>
          </cell>
        </row>
        <row r="65">
          <cell r="B65">
            <v>0</v>
          </cell>
          <cell r="C65">
            <v>0</v>
          </cell>
        </row>
        <row r="66">
          <cell r="B66">
            <v>0</v>
          </cell>
          <cell r="C66">
            <v>0</v>
          </cell>
        </row>
        <row r="67">
          <cell r="B67">
            <v>0</v>
          </cell>
          <cell r="C67">
            <v>0</v>
          </cell>
        </row>
        <row r="68">
          <cell r="B68" t="str">
            <v>Вз-ВБШвнг(А)-LS</v>
          </cell>
          <cell r="C68" t="str">
            <v>5х2,5</v>
          </cell>
        </row>
        <row r="69">
          <cell r="B69" t="str">
            <v>Вз-ВБШвнг(А)-LS</v>
          </cell>
          <cell r="C69" t="str">
            <v>5х6</v>
          </cell>
        </row>
        <row r="70">
          <cell r="B70" t="str">
            <v>Вз-ВБШвнг(А)-LS</v>
          </cell>
          <cell r="C70" t="str">
            <v>5х10</v>
          </cell>
        </row>
        <row r="71">
          <cell r="B71" t="str">
            <v>Вз-ВБШвнг(А)-LS</v>
          </cell>
          <cell r="C71" t="str">
            <v>5х25</v>
          </cell>
        </row>
        <row r="72">
          <cell r="B72" t="str">
            <v>Вз-ВБШвнг(А)-LS</v>
          </cell>
          <cell r="C72" t="str">
            <v>5х50</v>
          </cell>
        </row>
        <row r="73">
          <cell r="B73" t="str">
            <v>Вз-ВБШвнг(А)-LS</v>
          </cell>
          <cell r="C73" t="str">
            <v>5х70</v>
          </cell>
        </row>
        <row r="74">
          <cell r="B74">
            <v>0</v>
          </cell>
          <cell r="C74">
            <v>0</v>
          </cell>
        </row>
        <row r="75">
          <cell r="B75">
            <v>0</v>
          </cell>
          <cell r="C75">
            <v>0</v>
          </cell>
        </row>
        <row r="76">
          <cell r="B76">
            <v>0</v>
          </cell>
          <cell r="C76">
            <v>0</v>
          </cell>
        </row>
        <row r="77">
          <cell r="B77">
            <v>0</v>
          </cell>
          <cell r="C77">
            <v>0</v>
          </cell>
        </row>
        <row r="78">
          <cell r="B78">
            <v>0</v>
          </cell>
          <cell r="C78">
            <v>0</v>
          </cell>
        </row>
        <row r="79">
          <cell r="B79">
            <v>0</v>
          </cell>
          <cell r="C79">
            <v>0</v>
          </cell>
        </row>
        <row r="80">
          <cell r="B80">
            <v>0</v>
          </cell>
          <cell r="C80">
            <v>0</v>
          </cell>
        </row>
        <row r="81">
          <cell r="B81">
            <v>0</v>
          </cell>
          <cell r="C81">
            <v>0</v>
          </cell>
        </row>
        <row r="82">
          <cell r="B82">
            <v>0</v>
          </cell>
          <cell r="C82">
            <v>0</v>
          </cell>
        </row>
        <row r="83">
          <cell r="B83">
            <v>0</v>
          </cell>
          <cell r="C83">
            <v>0</v>
          </cell>
        </row>
        <row r="84">
          <cell r="B84">
            <v>0</v>
          </cell>
          <cell r="C84">
            <v>0</v>
          </cell>
        </row>
        <row r="85">
          <cell r="B85">
            <v>0</v>
          </cell>
          <cell r="C85">
            <v>0</v>
          </cell>
        </row>
        <row r="86">
          <cell r="B86">
            <v>0</v>
          </cell>
          <cell r="C86">
            <v>0</v>
          </cell>
        </row>
        <row r="87">
          <cell r="B87">
            <v>0</v>
          </cell>
          <cell r="C87">
            <v>0</v>
          </cell>
        </row>
        <row r="88">
          <cell r="B88">
            <v>0</v>
          </cell>
          <cell r="C88">
            <v>0</v>
          </cell>
        </row>
        <row r="89">
          <cell r="B89">
            <v>0</v>
          </cell>
          <cell r="C89">
            <v>0</v>
          </cell>
        </row>
        <row r="90">
          <cell r="B90">
            <v>0</v>
          </cell>
          <cell r="C90">
            <v>0</v>
          </cell>
        </row>
        <row r="91">
          <cell r="B91">
            <v>0</v>
          </cell>
          <cell r="C91">
            <v>0</v>
          </cell>
        </row>
        <row r="92">
          <cell r="B92">
            <v>0</v>
          </cell>
          <cell r="C92">
            <v>0</v>
          </cell>
        </row>
        <row r="93">
          <cell r="B93">
            <v>0</v>
          </cell>
          <cell r="C93">
            <v>0</v>
          </cell>
        </row>
        <row r="94">
          <cell r="B94">
            <v>0</v>
          </cell>
          <cell r="C94">
            <v>0</v>
          </cell>
        </row>
        <row r="95">
          <cell r="B95">
            <v>0</v>
          </cell>
          <cell r="C95">
            <v>0</v>
          </cell>
        </row>
        <row r="96">
          <cell r="B96">
            <v>0</v>
          </cell>
          <cell r="C96">
            <v>0</v>
          </cell>
        </row>
        <row r="97">
          <cell r="B97">
            <v>0</v>
          </cell>
          <cell r="C97">
            <v>0</v>
          </cell>
        </row>
        <row r="98">
          <cell r="B98">
            <v>0</v>
          </cell>
          <cell r="C98">
            <v>0</v>
          </cell>
        </row>
        <row r="99">
          <cell r="B99">
            <v>0</v>
          </cell>
          <cell r="C99">
            <v>0</v>
          </cell>
        </row>
        <row r="100">
          <cell r="B100">
            <v>0</v>
          </cell>
          <cell r="C100">
            <v>0</v>
          </cell>
        </row>
        <row r="101">
          <cell r="B101">
            <v>0</v>
          </cell>
          <cell r="C101">
            <v>0</v>
          </cell>
        </row>
        <row r="102">
          <cell r="B102">
            <v>0</v>
          </cell>
          <cell r="C102">
            <v>0</v>
          </cell>
        </row>
        <row r="103">
          <cell r="B103">
            <v>0</v>
          </cell>
          <cell r="C103">
            <v>0</v>
          </cell>
        </row>
        <row r="104">
          <cell r="B104">
            <v>0</v>
          </cell>
          <cell r="C104">
            <v>0</v>
          </cell>
        </row>
        <row r="105">
          <cell r="B105">
            <v>0</v>
          </cell>
          <cell r="C105">
            <v>0</v>
          </cell>
        </row>
        <row r="106">
          <cell r="B106">
            <v>0</v>
          </cell>
          <cell r="C106">
            <v>0</v>
          </cell>
        </row>
        <row r="107">
          <cell r="B107" t="str">
            <v>1BS10FR-BK</v>
          </cell>
          <cell r="C107" t="str">
            <v>1х3х1,0</v>
          </cell>
        </row>
        <row r="108">
          <cell r="B108" t="str">
            <v>4AM10LS-BK-N</v>
          </cell>
          <cell r="C108" t="str">
            <v>4x2x0,52</v>
          </cell>
        </row>
        <row r="109">
          <cell r="B109">
            <v>0</v>
          </cell>
          <cell r="C109">
            <v>0</v>
          </cell>
        </row>
        <row r="110">
          <cell r="B110">
            <v>0</v>
          </cell>
          <cell r="C110">
            <v>0</v>
          </cell>
        </row>
        <row r="111">
          <cell r="B111">
            <v>0</v>
          </cell>
          <cell r="C111">
            <v>0</v>
          </cell>
        </row>
        <row r="112">
          <cell r="B112">
            <v>0</v>
          </cell>
          <cell r="C112">
            <v>0</v>
          </cell>
        </row>
        <row r="113">
          <cell r="B113">
            <v>0</v>
          </cell>
          <cell r="C113">
            <v>0</v>
          </cell>
        </row>
        <row r="114">
          <cell r="B114">
            <v>0</v>
          </cell>
          <cell r="C114">
            <v>0</v>
          </cell>
        </row>
        <row r="115">
          <cell r="B115">
            <v>0</v>
          </cell>
          <cell r="C115">
            <v>0</v>
          </cell>
        </row>
        <row r="116">
          <cell r="B116">
            <v>0</v>
          </cell>
          <cell r="C116">
            <v>0</v>
          </cell>
        </row>
        <row r="117">
          <cell r="B117">
            <v>0</v>
          </cell>
          <cell r="C117">
            <v>0</v>
          </cell>
        </row>
        <row r="118">
          <cell r="B118">
            <v>0</v>
          </cell>
          <cell r="C118">
            <v>0</v>
          </cell>
        </row>
        <row r="119">
          <cell r="B119">
            <v>0</v>
          </cell>
          <cell r="C119">
            <v>0</v>
          </cell>
        </row>
        <row r="120">
          <cell r="B120">
            <v>0</v>
          </cell>
          <cell r="C120">
            <v>0</v>
          </cell>
        </row>
        <row r="121">
          <cell r="B121">
            <v>0</v>
          </cell>
          <cell r="C121">
            <v>0</v>
          </cell>
        </row>
        <row r="122">
          <cell r="B122">
            <v>0</v>
          </cell>
          <cell r="C122">
            <v>0</v>
          </cell>
        </row>
        <row r="123">
          <cell r="B123">
            <v>0</v>
          </cell>
          <cell r="C123">
            <v>0</v>
          </cell>
        </row>
        <row r="124">
          <cell r="B124">
            <v>0</v>
          </cell>
          <cell r="C124">
            <v>0</v>
          </cell>
        </row>
        <row r="125">
          <cell r="B125">
            <v>0</v>
          </cell>
          <cell r="C125">
            <v>0</v>
          </cell>
        </row>
        <row r="126">
          <cell r="B126">
            <v>0</v>
          </cell>
          <cell r="C126">
            <v>0</v>
          </cell>
        </row>
        <row r="127">
          <cell r="B127">
            <v>0</v>
          </cell>
          <cell r="C127">
            <v>0</v>
          </cell>
        </row>
        <row r="128">
          <cell r="B128">
            <v>0</v>
          </cell>
          <cell r="C128">
            <v>0</v>
          </cell>
        </row>
        <row r="129">
          <cell r="B129">
            <v>0</v>
          </cell>
          <cell r="C129">
            <v>0</v>
          </cell>
        </row>
        <row r="130">
          <cell r="B130">
            <v>0</v>
          </cell>
          <cell r="C130">
            <v>0</v>
          </cell>
        </row>
        <row r="131">
          <cell r="B131">
            <v>0</v>
          </cell>
          <cell r="C131">
            <v>0</v>
          </cell>
        </row>
        <row r="132">
          <cell r="B132">
            <v>0</v>
          </cell>
          <cell r="C132">
            <v>0</v>
          </cell>
        </row>
        <row r="133">
          <cell r="B133">
            <v>0</v>
          </cell>
          <cell r="C133">
            <v>0</v>
          </cell>
        </row>
        <row r="134">
          <cell r="B134">
            <v>0</v>
          </cell>
          <cell r="C134">
            <v>0</v>
          </cell>
        </row>
        <row r="135">
          <cell r="B135">
            <v>0</v>
          </cell>
          <cell r="C135">
            <v>0</v>
          </cell>
        </row>
        <row r="136">
          <cell r="B136">
            <v>0</v>
          </cell>
          <cell r="C136">
            <v>0</v>
          </cell>
        </row>
        <row r="137">
          <cell r="B137">
            <v>0</v>
          </cell>
          <cell r="C137">
            <v>0</v>
          </cell>
        </row>
        <row r="138">
          <cell r="B138">
            <v>0</v>
          </cell>
          <cell r="C138">
            <v>0</v>
          </cell>
        </row>
        <row r="139">
          <cell r="B139">
            <v>0</v>
          </cell>
          <cell r="C139">
            <v>0</v>
          </cell>
        </row>
        <row r="140">
          <cell r="B140">
            <v>0</v>
          </cell>
          <cell r="C140">
            <v>0</v>
          </cell>
        </row>
        <row r="141">
          <cell r="B141">
            <v>0</v>
          </cell>
          <cell r="C141">
            <v>0</v>
          </cell>
        </row>
        <row r="142">
          <cell r="B142">
            <v>0</v>
          </cell>
          <cell r="C142">
            <v>0</v>
          </cell>
        </row>
        <row r="143">
          <cell r="B143">
            <v>0</v>
          </cell>
          <cell r="C143">
            <v>0</v>
          </cell>
        </row>
        <row r="144">
          <cell r="B144">
            <v>0</v>
          </cell>
          <cell r="C144">
            <v>0</v>
          </cell>
        </row>
        <row r="145">
          <cell r="B145">
            <v>0</v>
          </cell>
          <cell r="C145">
            <v>0</v>
          </cell>
        </row>
        <row r="146">
          <cell r="B146">
            <v>0</v>
          </cell>
          <cell r="C146">
            <v>0</v>
          </cell>
        </row>
        <row r="147">
          <cell r="B147">
            <v>0</v>
          </cell>
          <cell r="C147">
            <v>0</v>
          </cell>
        </row>
        <row r="148">
          <cell r="B148">
            <v>0</v>
          </cell>
          <cell r="C148">
            <v>0</v>
          </cell>
        </row>
        <row r="149">
          <cell r="B149">
            <v>0</v>
          </cell>
          <cell r="C149">
            <v>0</v>
          </cell>
        </row>
        <row r="150">
          <cell r="B150">
            <v>0</v>
          </cell>
          <cell r="C150">
            <v>0</v>
          </cell>
        </row>
        <row r="151">
          <cell r="B151">
            <v>0</v>
          </cell>
          <cell r="C151">
            <v>0</v>
          </cell>
        </row>
        <row r="152">
          <cell r="B152">
            <v>0</v>
          </cell>
          <cell r="C152">
            <v>0</v>
          </cell>
        </row>
        <row r="153">
          <cell r="B153">
            <v>0</v>
          </cell>
          <cell r="C153">
            <v>0</v>
          </cell>
        </row>
        <row r="154">
          <cell r="B154">
            <v>0</v>
          </cell>
          <cell r="C154">
            <v>0</v>
          </cell>
        </row>
        <row r="155">
          <cell r="B155">
            <v>0</v>
          </cell>
          <cell r="C155">
            <v>0</v>
          </cell>
        </row>
        <row r="156">
          <cell r="B156">
            <v>0</v>
          </cell>
          <cell r="C156">
            <v>0</v>
          </cell>
        </row>
      </sheetData>
      <sheetData sheetId="6"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8272F-B5E6-4072-BA61-5D00383848DA}">
  <dimension ref="A1:K44"/>
  <sheetViews>
    <sheetView tabSelected="1" workbookViewId="0">
      <selection activeCell="A6" sqref="A6"/>
    </sheetView>
  </sheetViews>
  <sheetFormatPr defaultRowHeight="15.75" x14ac:dyDescent="0.25"/>
  <cols>
    <col min="1" max="1" width="31.42578125" style="2" bestFit="1" customWidth="1"/>
    <col min="2" max="2" width="25.28515625" style="2" customWidth="1"/>
    <col min="3" max="3" width="19.140625" style="2" bestFit="1" customWidth="1"/>
    <col min="4" max="16384" width="9.140625" style="2"/>
  </cols>
  <sheetData>
    <row r="1" spans="1:11" x14ac:dyDescent="0.25">
      <c r="A1" s="1" t="s">
        <v>0</v>
      </c>
      <c r="B1" s="1" t="s">
        <v>1</v>
      </c>
      <c r="C1" s="2" t="s">
        <v>2</v>
      </c>
    </row>
    <row r="2" spans="1:11" x14ac:dyDescent="0.25">
      <c r="A2" s="3" t="s">
        <v>3</v>
      </c>
      <c r="B2" s="4">
        <v>6000</v>
      </c>
      <c r="C2" s="2">
        <v>2000</v>
      </c>
      <c r="D2" s="2">
        <v>2000</v>
      </c>
      <c r="E2" s="2">
        <v>300</v>
      </c>
      <c r="F2" s="2">
        <v>300</v>
      </c>
      <c r="G2" s="2">
        <v>300</v>
      </c>
      <c r="H2" s="2">
        <v>150</v>
      </c>
      <c r="I2" s="2">
        <v>600</v>
      </c>
      <c r="J2" s="2">
        <v>350</v>
      </c>
      <c r="K2" s="5">
        <f>SUM(C2:J2)</f>
        <v>6000</v>
      </c>
    </row>
    <row r="3" spans="1:11" x14ac:dyDescent="0.25">
      <c r="A3" s="3" t="s">
        <v>4</v>
      </c>
      <c r="B3" s="4">
        <v>4900</v>
      </c>
      <c r="C3" s="2">
        <v>150</v>
      </c>
      <c r="D3" s="2">
        <v>170</v>
      </c>
      <c r="E3" s="2">
        <v>180</v>
      </c>
      <c r="F3" s="2">
        <v>900</v>
      </c>
      <c r="G3" s="2">
        <v>2000</v>
      </c>
      <c r="H3" s="2">
        <v>1500</v>
      </c>
      <c r="K3" s="5">
        <f>SUM(C3:J3)</f>
        <v>4900</v>
      </c>
    </row>
    <row r="5" spans="1:11" x14ac:dyDescent="0.25">
      <c r="A5" s="2" t="s">
        <v>5</v>
      </c>
    </row>
    <row r="7" spans="1:11" x14ac:dyDescent="0.25">
      <c r="A7" s="2" t="s">
        <v>6</v>
      </c>
    </row>
    <row r="8" spans="1:11" ht="31.5" x14ac:dyDescent="0.25">
      <c r="A8" s="3" t="s">
        <v>7</v>
      </c>
    </row>
    <row r="9" spans="1:11" x14ac:dyDescent="0.25">
      <c r="A9" s="2" t="s">
        <v>8</v>
      </c>
    </row>
    <row r="10" spans="1:11" x14ac:dyDescent="0.25">
      <c r="A10" s="2" t="s">
        <v>9</v>
      </c>
    </row>
    <row r="11" spans="1:11" x14ac:dyDescent="0.25">
      <c r="A11" s="2" t="s">
        <v>10</v>
      </c>
    </row>
    <row r="12" spans="1:11" ht="31.5" x14ac:dyDescent="0.25">
      <c r="A12" s="3" t="s">
        <v>11</v>
      </c>
    </row>
    <row r="13" spans="1:11" x14ac:dyDescent="0.25">
      <c r="A13" s="2" t="s">
        <v>12</v>
      </c>
    </row>
    <row r="14" spans="1:11" x14ac:dyDescent="0.25">
      <c r="A14" s="2" t="s">
        <v>13</v>
      </c>
    </row>
    <row r="15" spans="1:11" x14ac:dyDescent="0.25">
      <c r="A15" s="2" t="s">
        <v>14</v>
      </c>
    </row>
    <row r="16" spans="1:11" x14ac:dyDescent="0.25">
      <c r="A16" s="2" t="s">
        <v>15</v>
      </c>
    </row>
    <row r="17" spans="1:4" x14ac:dyDescent="0.25">
      <c r="A17" s="2" t="s">
        <v>16</v>
      </c>
    </row>
    <row r="19" spans="1:4" x14ac:dyDescent="0.25">
      <c r="A19" s="2" t="s">
        <v>17</v>
      </c>
    </row>
    <row r="20" spans="1:4" x14ac:dyDescent="0.25">
      <c r="A20" s="2" t="s">
        <v>18</v>
      </c>
      <c r="B20" s="2">
        <v>9000</v>
      </c>
    </row>
    <row r="21" spans="1:4" x14ac:dyDescent="0.25">
      <c r="A21" s="2" t="s">
        <v>18</v>
      </c>
      <c r="B21" s="2">
        <v>9000</v>
      </c>
    </row>
    <row r="22" spans="1:4" x14ac:dyDescent="0.25">
      <c r="A22" s="2" t="s">
        <v>18</v>
      </c>
      <c r="B22" s="2">
        <v>9000</v>
      </c>
    </row>
    <row r="23" spans="1:4" x14ac:dyDescent="0.25">
      <c r="A23" s="2" t="s">
        <v>18</v>
      </c>
      <c r="B23" s="2">
        <v>2000</v>
      </c>
    </row>
    <row r="24" spans="1:4" x14ac:dyDescent="0.25">
      <c r="A24" s="2" t="s">
        <v>18</v>
      </c>
      <c r="B24" s="2">
        <v>1000</v>
      </c>
    </row>
    <row r="25" spans="1:4" x14ac:dyDescent="0.25">
      <c r="A25" s="2" t="s">
        <v>18</v>
      </c>
      <c r="B25" s="2">
        <v>400</v>
      </c>
    </row>
    <row r="26" spans="1:4" x14ac:dyDescent="0.25">
      <c r="A26" s="2" t="s">
        <v>19</v>
      </c>
      <c r="B26" s="2">
        <v>6000</v>
      </c>
    </row>
    <row r="27" spans="1:4" x14ac:dyDescent="0.25">
      <c r="A27" s="2" t="s">
        <v>20</v>
      </c>
      <c r="B27" s="2">
        <v>12000</v>
      </c>
    </row>
    <row r="28" spans="1:4" x14ac:dyDescent="0.25">
      <c r="A28" s="2" t="s">
        <v>21</v>
      </c>
      <c r="B28" s="2">
        <v>500</v>
      </c>
    </row>
    <row r="31" spans="1:4" x14ac:dyDescent="0.25">
      <c r="A31" s="6" t="s">
        <v>22</v>
      </c>
      <c r="B31" s="6">
        <v>10</v>
      </c>
      <c r="C31" s="6">
        <v>12</v>
      </c>
      <c r="D31" s="6">
        <v>14</v>
      </c>
    </row>
    <row r="32" spans="1:4" x14ac:dyDescent="0.25">
      <c r="A32" s="7" t="s">
        <v>3</v>
      </c>
      <c r="B32" s="6">
        <v>600</v>
      </c>
      <c r="C32" s="6">
        <v>800</v>
      </c>
      <c r="D32" s="6">
        <v>1200</v>
      </c>
    </row>
    <row r="33" spans="1:4" x14ac:dyDescent="0.25">
      <c r="A33" s="7" t="s">
        <v>4</v>
      </c>
      <c r="B33" s="6">
        <v>450</v>
      </c>
      <c r="C33" s="6">
        <v>650</v>
      </c>
      <c r="D33" s="6">
        <v>980</v>
      </c>
    </row>
    <row r="35" spans="1:4" x14ac:dyDescent="0.25">
      <c r="A35" s="2" t="s">
        <v>23</v>
      </c>
      <c r="B35" s="2" t="s">
        <v>24</v>
      </c>
    </row>
    <row r="36" spans="1:4" x14ac:dyDescent="0.25">
      <c r="A36" s="2" t="s">
        <v>25</v>
      </c>
      <c r="B36" s="2">
        <v>4500</v>
      </c>
    </row>
    <row r="37" spans="1:4" x14ac:dyDescent="0.25">
      <c r="A37" s="2" t="s">
        <v>26</v>
      </c>
      <c r="B37" s="2">
        <v>2100</v>
      </c>
    </row>
    <row r="39" spans="1:4" x14ac:dyDescent="0.25">
      <c r="A39" s="2" t="s">
        <v>27</v>
      </c>
      <c r="B39" s="2">
        <v>450</v>
      </c>
      <c r="C39" s="2" t="s">
        <v>28</v>
      </c>
    </row>
    <row r="40" spans="1:4" x14ac:dyDescent="0.25">
      <c r="A40" s="2" t="s">
        <v>29</v>
      </c>
      <c r="B40" s="2" t="s">
        <v>30</v>
      </c>
    </row>
    <row r="41" spans="1:4" x14ac:dyDescent="0.25">
      <c r="A41" s="2" t="s">
        <v>31</v>
      </c>
      <c r="B41" s="2" t="s">
        <v>32</v>
      </c>
    </row>
    <row r="43" spans="1:4" x14ac:dyDescent="0.25">
      <c r="A43" s="2" t="s">
        <v>33</v>
      </c>
    </row>
    <row r="44" spans="1:4" x14ac:dyDescent="0.25">
      <c r="A44" s="2"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Тз</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Ивонин Александр</dc:creator>
  <cp:lastModifiedBy>Ивонин Александр</cp:lastModifiedBy>
  <dcterms:created xsi:type="dcterms:W3CDTF">2026-02-21T19:10:01Z</dcterms:created>
  <dcterms:modified xsi:type="dcterms:W3CDTF">2026-02-21T19:10:47Z</dcterms:modified>
</cp:coreProperties>
</file>