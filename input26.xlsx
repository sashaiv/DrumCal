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jects\lenght\"/>
    </mc:Choice>
  </mc:AlternateContent>
  <xr:revisionPtr revIDLastSave="0" documentId="13_ncr:1_{85F56A14-4D2C-4320-854B-9D2D15E8971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1. Заказы" sheetId="1" r:id="rId1"/>
    <sheet name="2. Состав кабелей" sheetId="2" r:id="rId2"/>
    <sheet name="3. П-Ф (склад)" sheetId="3" r:id="rId3"/>
    <sheet name="4. Барабаны" sheetId="4" r:id="rId4"/>
    <sheet name="5. Параметры" sheetId="5" r:id="rId5"/>
  </sheets>
  <definedNames>
    <definedName name="ExternalData_1" localSheetId="1" hidden="1">'2. Состав кабелей'!$A$2:$A$54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2" l="1"/>
  <c r="R4" i="2" l="1"/>
  <c r="R5" i="2"/>
  <c r="R6" i="2"/>
  <c r="F6" i="2" s="1"/>
  <c r="R7" i="2"/>
  <c r="F7" i="2" s="1"/>
  <c r="R8" i="2"/>
  <c r="F8" i="2" s="1"/>
  <c r="R9" i="2"/>
  <c r="R10" i="2"/>
  <c r="R11" i="2"/>
  <c r="R12" i="2"/>
  <c r="R13" i="2"/>
  <c r="R14" i="2"/>
  <c r="R15" i="2"/>
  <c r="F15" i="2" s="1"/>
  <c r="R16" i="2"/>
  <c r="F16" i="2" s="1"/>
  <c r="R17" i="2"/>
  <c r="F17" i="2" s="1"/>
  <c r="R18" i="2"/>
  <c r="F18" i="2" s="1"/>
  <c r="R19" i="2"/>
  <c r="F19" i="2" s="1"/>
  <c r="R20" i="2"/>
  <c r="R21" i="2"/>
  <c r="R22" i="2"/>
  <c r="R23" i="2"/>
  <c r="R24" i="2"/>
  <c r="R25" i="2"/>
  <c r="R26" i="2"/>
  <c r="R27" i="2"/>
  <c r="R28" i="2"/>
  <c r="F28" i="2" s="1"/>
  <c r="R29" i="2"/>
  <c r="F29" i="2" s="1"/>
  <c r="R30" i="2"/>
  <c r="F30" i="2" s="1"/>
  <c r="R31" i="2"/>
  <c r="F31" i="2" s="1"/>
  <c r="R32" i="2"/>
  <c r="F32" i="2" s="1"/>
  <c r="R33" i="2"/>
  <c r="F33" i="2" s="1"/>
  <c r="R34" i="2"/>
  <c r="F34" i="2" s="1"/>
  <c r="R35" i="2"/>
  <c r="F35" i="2" s="1"/>
  <c r="R36" i="2"/>
  <c r="F36" i="2" s="1"/>
  <c r="R37" i="2"/>
  <c r="F37" i="2" s="1"/>
  <c r="R38" i="2"/>
  <c r="F38" i="2" s="1"/>
  <c r="R39" i="2"/>
  <c r="F39" i="2" s="1"/>
  <c r="R40" i="2"/>
  <c r="F40" i="2" s="1"/>
  <c r="R41" i="2"/>
  <c r="F41" i="2" s="1"/>
  <c r="R42" i="2"/>
  <c r="R43" i="2"/>
  <c r="R44" i="2"/>
  <c r="R45" i="2"/>
  <c r="R46" i="2"/>
  <c r="R47" i="2"/>
  <c r="R48" i="2"/>
  <c r="R49" i="2"/>
  <c r="R50" i="2"/>
  <c r="F50" i="2" s="1"/>
  <c r="R51" i="2"/>
  <c r="F51" i="2" s="1"/>
  <c r="R52" i="2"/>
  <c r="R53" i="2"/>
  <c r="R3" i="2"/>
  <c r="Q4" i="2"/>
  <c r="B4" i="2" s="1"/>
  <c r="Q5" i="2"/>
  <c r="Q6" i="2"/>
  <c r="Q7" i="2"/>
  <c r="Q8" i="2"/>
  <c r="B8" i="2" s="1"/>
  <c r="Q9" i="2"/>
  <c r="C8" i="2" s="1"/>
  <c r="Q10" i="2"/>
  <c r="B10" i="2" s="1"/>
  <c r="Q11" i="2"/>
  <c r="Q12" i="2"/>
  <c r="Q13" i="2"/>
  <c r="C12" i="2" s="1"/>
  <c r="Q14" i="2"/>
  <c r="C13" i="2" s="1"/>
  <c r="Q15" i="2"/>
  <c r="B15" i="2" s="1"/>
  <c r="Q16" i="2"/>
  <c r="C15" i="2" s="1"/>
  <c r="Q17" i="2"/>
  <c r="C16" i="2" s="1"/>
  <c r="Q18" i="2"/>
  <c r="B18" i="2" s="1"/>
  <c r="Q19" i="2"/>
  <c r="B19" i="2" s="1"/>
  <c r="Q20" i="2"/>
  <c r="C19" i="2" s="1"/>
  <c r="Q21" i="2"/>
  <c r="Q22" i="2"/>
  <c r="Q23" i="2"/>
  <c r="Q24" i="2"/>
  <c r="C23" i="2" s="1"/>
  <c r="Q25" i="2"/>
  <c r="C24" i="2" s="1"/>
  <c r="Q26" i="2"/>
  <c r="C25" i="2" s="1"/>
  <c r="Q27" i="2"/>
  <c r="Q28" i="2"/>
  <c r="Q29" i="2"/>
  <c r="B29" i="2" s="1"/>
  <c r="Q30" i="2"/>
  <c r="C29" i="2" s="1"/>
  <c r="Q31" i="2"/>
  <c r="C30" i="2" s="1"/>
  <c r="Q32" i="2"/>
  <c r="C31" i="2" s="1"/>
  <c r="Q33" i="2"/>
  <c r="C32" i="2" s="1"/>
  <c r="Q34" i="2"/>
  <c r="C33" i="2" s="1"/>
  <c r="Q35" i="2"/>
  <c r="B35" i="2" s="1"/>
  <c r="Q36" i="2"/>
  <c r="B36" i="2" s="1"/>
  <c r="Q37" i="2"/>
  <c r="Q38" i="2"/>
  <c r="Q39" i="2"/>
  <c r="B39" i="2" s="1"/>
  <c r="Q40" i="2"/>
  <c r="B40" i="2" s="1"/>
  <c r="Q41" i="2"/>
  <c r="C40" i="2" s="1"/>
  <c r="Q42" i="2"/>
  <c r="C41" i="2" s="1"/>
  <c r="Q43" i="2"/>
  <c r="Q44" i="2"/>
  <c r="Q45" i="2"/>
  <c r="C44" i="2" s="1"/>
  <c r="Q46" i="2"/>
  <c r="C45" i="2" s="1"/>
  <c r="Q47" i="2"/>
  <c r="B47" i="2" s="1"/>
  <c r="Q48" i="2"/>
  <c r="C47" i="2" s="1"/>
  <c r="Q49" i="2"/>
  <c r="C48" i="2" s="1"/>
  <c r="Q50" i="2"/>
  <c r="C49" i="2" s="1"/>
  <c r="Q51" i="2"/>
  <c r="C50" i="2" s="1"/>
  <c r="Q52" i="2"/>
  <c r="B52" i="2" s="1"/>
  <c r="Q53" i="2"/>
  <c r="Q3" i="2"/>
  <c r="B3" i="2" s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" i="2"/>
  <c r="C4" i="2"/>
  <c r="C5" i="2"/>
  <c r="C6" i="2"/>
  <c r="C10" i="2"/>
  <c r="C11" i="2"/>
  <c r="C17" i="2"/>
  <c r="C20" i="2"/>
  <c r="C21" i="2"/>
  <c r="C22" i="2"/>
  <c r="C26" i="2"/>
  <c r="C27" i="2"/>
  <c r="C36" i="2"/>
  <c r="C37" i="2"/>
  <c r="C38" i="2"/>
  <c r="C42" i="2"/>
  <c r="C43" i="2"/>
  <c r="C52" i="2"/>
  <c r="C53" i="2"/>
  <c r="B5" i="2"/>
  <c r="B6" i="2"/>
  <c r="B7" i="2"/>
  <c r="B11" i="2"/>
  <c r="B12" i="2"/>
  <c r="B13" i="2"/>
  <c r="B17" i="2"/>
  <c r="B21" i="2"/>
  <c r="B22" i="2"/>
  <c r="B23" i="2"/>
  <c r="B24" i="2"/>
  <c r="B27" i="2"/>
  <c r="B28" i="2"/>
  <c r="B33" i="2"/>
  <c r="B37" i="2"/>
  <c r="B38" i="2"/>
  <c r="B43" i="2"/>
  <c r="B44" i="2"/>
  <c r="B45" i="2"/>
  <c r="B53" i="2"/>
  <c r="B34" i="2" l="1"/>
  <c r="B50" i="2"/>
  <c r="B20" i="2"/>
  <c r="C3" i="2"/>
  <c r="C51" i="2"/>
  <c r="C35" i="2"/>
  <c r="B46" i="2"/>
  <c r="B30" i="2"/>
  <c r="B14" i="2"/>
  <c r="B31" i="2"/>
  <c r="C46" i="2"/>
  <c r="C14" i="2"/>
  <c r="B16" i="2"/>
  <c r="C28" i="2"/>
  <c r="B49" i="2"/>
  <c r="B32" i="2"/>
  <c r="C39" i="2"/>
  <c r="C7" i="2"/>
  <c r="B41" i="2"/>
  <c r="F14" i="2"/>
  <c r="F13" i="2"/>
  <c r="F12" i="2"/>
  <c r="F27" i="2"/>
  <c r="F11" i="2"/>
  <c r="B9" i="2"/>
  <c r="F42" i="2"/>
  <c r="F26" i="2"/>
  <c r="F10" i="2"/>
  <c r="F25" i="2"/>
  <c r="F9" i="2"/>
  <c r="B26" i="2"/>
  <c r="C9" i="2"/>
  <c r="B25" i="2"/>
  <c r="F3" i="2"/>
  <c r="F22" i="2"/>
  <c r="F53" i="2"/>
  <c r="F21" i="2"/>
  <c r="F5" i="2"/>
  <c r="F52" i="2"/>
  <c r="F20" i="2"/>
  <c r="F4" i="2"/>
  <c r="B42" i="2"/>
  <c r="B51" i="2"/>
  <c r="B48" i="2"/>
  <c r="C34" i="2"/>
  <c r="C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5CD47-26C0-433B-B278-F5ADA0F0CC29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  <connection id="2" xr16:uid="{E6B3144D-7A01-47F8-AEF5-54C9B23C2FDB}" keepAlive="1" name="Запрос — Таблица2 (2)" description="Соединение с запросом &quot;Таблица2 (2)&quot; в книге." type="5" refreshedVersion="8" background="1" saveData="1">
    <dbPr connection="Provider=Microsoft.Mashup.OleDb.1;Data Source=$Workbook$;Location=&quot;Таблица2 (2)&quot;;Extended Properties=&quot;&quot;" command="SELECT * FROM [Таблица2 (2)]"/>
  </connection>
</connections>
</file>

<file path=xl/sharedStrings.xml><?xml version="1.0" encoding="utf-8"?>
<sst xmlns="http://schemas.openxmlformats.org/spreadsheetml/2006/main" count="626" uniqueCount="143">
  <si>
    <t>📋  ЗАКАЗЫ НА КАБЕЛЬ</t>
  </si>
  <si>
    <t>⚠  Кабельный журнал — отрезки через запятую (пример: 2000, 1500, 300). Если журнала нет — оставьте ячейку пустой, длина берётся из столбца Б.</t>
  </si>
  <si>
    <t>Марка кабеля</t>
  </si>
  <si>
    <t>Длина заказа, м</t>
  </si>
  <si>
    <t>Кабельный журнал (отрезки через запятую)</t>
  </si>
  <si>
    <t>🎨  СОСТАВ КАБЕЛЕЙ — цвета жил</t>
  </si>
  <si>
    <t>⚠  Сечение — только число (например, 2,5 или 25). Индекс ТПЖ: ок / мк / мкг. Огнестойкость: FR или — . Материал изоляции: LS / HF / PVC и т.п. Цвета жил должны точно совпадать с названиями в листе П-Ф.</t>
  </si>
  <si>
    <t>Сечение жил</t>
  </si>
  <si>
    <t>Индекс ТПЖ</t>
  </si>
  <si>
    <t>Огнестойкость</t>
  </si>
  <si>
    <t>Материал изоляции</t>
  </si>
  <si>
    <t>Жила 1</t>
  </si>
  <si>
    <t>Жила 2</t>
  </si>
  <si>
    <t>Жила 3</t>
  </si>
  <si>
    <t>Жила 4</t>
  </si>
  <si>
    <t>Жила 5</t>
  </si>
  <si>
    <t>Примечание</t>
  </si>
  <si>
    <t>2,5</t>
  </si>
  <si>
    <t>ок</t>
  </si>
  <si>
    <t>—</t>
  </si>
  <si>
    <t>LS</t>
  </si>
  <si>
    <t>N=Синяя, PE=Натуральная</t>
  </si>
  <si>
    <t>мк</t>
  </si>
  <si>
    <t>25</t>
  </si>
  <si>
    <t>N=Синяя</t>
  </si>
  <si>
    <t>N=Синяя, PE=Желто-зеленая</t>
  </si>
  <si>
    <t>мкг</t>
  </si>
  <si>
    <t>📦  СКЛАД ПОЛУФАБРИКАТОВ И ГОТОВОЙ ПРОДУКЦИИ</t>
  </si>
  <si>
    <t>⚠  Тип: ТПЖ / Изолированная / Кабель. Для ТПЖ: сечение (мм²) + индекс (ок/мк/мкг). Для Изолированной: + огнестойкость (FR или —) + материал (LS/HF) + цвет. Для Кабель: марку в колонке «Цвет / Марка кабеля». Каждая строка = один барабан / бухта / отрезок.</t>
  </si>
  <si>
    <t>№</t>
  </si>
  <si>
    <t>Тип</t>
  </si>
  <si>
    <t>Сечение, мм²</t>
  </si>
  <si>
    <t>Индекс</t>
  </si>
  <si>
    <t>Материал изол.</t>
  </si>
  <si>
    <t>Цвет / Марка кабеля</t>
  </si>
  <si>
    <t>Длина, м</t>
  </si>
  <si>
    <t>Примечание (ID)</t>
  </si>
  <si>
    <t>ТПЖ</t>
  </si>
  <si>
    <t>Барабан-А1</t>
  </si>
  <si>
    <t>Изолированная</t>
  </si>
  <si>
    <t>Кабель</t>
  </si>
  <si>
    <t>ТПЖ — голая жила</t>
  </si>
  <si>
    <t>Изолированная — цветная жила</t>
  </si>
  <si>
    <t>Кабель — готовый кабель</t>
  </si>
  <si>
    <t>🛢  ЁМКОСТЬ БАРАБАНОВ (м) — заголовки столбцов можно менять под свои типы</t>
  </si>
  <si>
    <t xml:space="preserve">  А. ЖИЛЫ — мотки/катушки после изолирования</t>
  </si>
  <si>
    <t>⚠  Заголовки столбцов (Б-400, Б-630, Б-1000) — названия ваших катушек/барабанов. Измените их на нужные. Добавьте столбцы если нужно больше типов. Ёмкость = максимальная длина жилы на этом мотке. Алгоритм выбирает наименьший подходящий моток под каждый прогон изолирования.</t>
  </si>
  <si>
    <t>Б-400, м</t>
  </si>
  <si>
    <t>Б-630, м</t>
  </si>
  <si>
    <t>Б-1000, м</t>
  </si>
  <si>
    <t>← Добавляйте столбцы для других типов барабанов</t>
  </si>
  <si>
    <t xml:space="preserve">  Б. КАБЕЛЬ — выходные барабаны для готовой продукции</t>
  </si>
  <si>
    <t>⚠  Заголовки столбцов (№10, №12, №14) — типы ваших выходных барабанов. Измените или добавьте под свои. Ёмкость = максимальная длина кабеля на барабане данного типа. Алгоритм пакует отрезки кабельного журнала на наименьшие подходящие барабаны.</t>
  </si>
  <si>
    <t>№10, м</t>
  </si>
  <si>
    <t>№12, м</t>
  </si>
  <si>
    <t>№14, м</t>
  </si>
  <si>
    <t>⚙️  ПАРАМЕТРЫ ПРОИЗВОДСТВЕННОГО ПРОЦЕССА</t>
  </si>
  <si>
    <t>Параметр</t>
  </si>
  <si>
    <t>Значение</t>
  </si>
  <si>
    <t>Макс. намотка на изолировании, м</t>
  </si>
  <si>
    <t>Один проход изолировочной машины — не более этого значения</t>
  </si>
  <si>
    <t>Макс. длина партии скрутки, м</t>
  </si>
  <si>
    <t>Один проход скрутки — не более этого значения</t>
  </si>
  <si>
    <t>Минимальная строительная длина, м</t>
  </si>
  <si>
    <t>Применяется если кабельный журнал не задан</t>
  </si>
  <si>
    <t>Спайка жил разрешена</t>
  </si>
  <si>
    <t>Нет</t>
  </si>
  <si>
    <t>Нет — жила должна быть одним куском, спайка запрещена</t>
  </si>
  <si>
    <t>Несколько отрезков на приёмном барабане</t>
  </si>
  <si>
    <t>Да</t>
  </si>
  <si>
    <t>Да — несколько отрезков кабельного журнала одной партии скрутки можно принимать на один барабан (отрезки разделены). Нет — каждый отрезок на отдельный барабан.</t>
  </si>
  <si>
    <t>Стратегия оптимизации</t>
  </si>
  <si>
    <t>Экономия</t>
  </si>
  <si>
    <t>Экономия = меньше барабанов и отходов; Скорость = меньше переходов по цвету</t>
  </si>
  <si>
    <t>Потери на заправку изолировочной линии, м</t>
  </si>
  <si>
    <t>На каждый прогон изолирования: ТПЖ снимается на это значение больше плановой длины</t>
  </si>
  <si>
    <t>Запас на обрезку торцов, м</t>
  </si>
  <si>
    <t>На каждый отрезок журнала в партии скрутки: добавляется к расходу ТПЖ</t>
  </si>
  <si>
    <t>Сохранять порядок кабельного журнала</t>
  </si>
  <si>
    <t>Нет = алгоритм FFD (сортировка по убыванию); Да = порядок как в журнале</t>
  </si>
  <si>
    <t>Порог предупреждения об остатке→отход, м</t>
  </si>
  <si>
    <t>Остаток катушки/барабана жилы после использования &lt; порога → предупреждение</t>
  </si>
  <si>
    <t>КОСМОГЕР Вз-ВБШвнг(А)-LS 3х2,5ок(N,PE)-1  ТУ 27.32.13-004-32408375-2022</t>
  </si>
  <si>
    <t>КОСМОГЕР Вз-ВБШвнг(А)-LS 3х25мк(N,PE)-1  ТУ 27.32.13-004-32408375-2022</t>
  </si>
  <si>
    <t>КОСМОГЕР Вз-ВБШвнг(А)-LS 3х4ок(N,PE)-1  ТУ 27.32.13-004-32408375-2022</t>
  </si>
  <si>
    <t>КОСМОГЕР Вз-ВБШвнг(А)-LS 4х16мк(N)-1  ТУ 27.32.13-004-32408375-2022</t>
  </si>
  <si>
    <t>КОСМОГЕР Вз-ВБШвнг(А)-LS 4х25мк(N)-1  ТУ 27.32.13-004-32408375-2022</t>
  </si>
  <si>
    <t>КОСМОГЕР Вз-ВБШвнг(А)-LS 4х35мк(N)-1  ТУ 27.32.13-004-32408375-2022</t>
  </si>
  <si>
    <t>КОСМОГЕР Вз-ВБШвнг(А)-LS 5х16мк(N,PE)-1  ТУ 27.32.13-004-32408375-2022</t>
  </si>
  <si>
    <t>КОСМОГЕР Вз-ВБШвнг(А)-LS 5х25мк(N,PE)-1  ТУ 27.32.13-004-32408375-2022</t>
  </si>
  <si>
    <t>КОСМОГЕР Вз-ВБШвнг(А)-LS 5х35мк(N,PE)-1  ТУ 27.32.13-004-32408375-2022</t>
  </si>
  <si>
    <t>КОСМОГЕР Вз-ВБШвнг(А)-LS 5х4ок(N,PE)-1  ТУ 27.32.13-004-32408375-2022</t>
  </si>
  <si>
    <t>КОСМОГЕР Вз-ВВГнг(А)-FRLS 3х2,5ок(N,PE)-1  ТУ 27.32.13-004-32408375-2022</t>
  </si>
  <si>
    <t>КОСМОГЕР Вз-ВВГнг(А)-FRLS 5х16мк(N,PE)-1  ТУ 27.32.13-004-32408375-2022</t>
  </si>
  <si>
    <t>КОСМОГЕР Вз-ВВГнг(А)-FRLS 5х25мк(N,PE)-1  ТУ 27.32.13-004-32408375-2022</t>
  </si>
  <si>
    <t>КОСМОГЕР Вз-ВВГнг(А)-FRLS 5х35мк(N,PE)-1  ТУ 27.32.13-004-32408375-2022</t>
  </si>
  <si>
    <t>КОСМОГЕР Вз-ВВГнг(А)-LS 3х4ок(N,PE)-1  ТУ 27.32.13-004-32408375-2022</t>
  </si>
  <si>
    <t>КОСМОГЕР Вз-ВВГнг(А)-LS 3х6ок(N,PE)-1  ТУ 27.32.13-004-32408375-2022</t>
  </si>
  <si>
    <t>КОСМОГЕР Вз-ВВГнг(А)-LS 5х10ок(N,PE)-1  ТУ 27.32.13-004-32408375-2022</t>
  </si>
  <si>
    <t>КОСМОГЕР Вз-ВВГнг(А)-LS 5х16мк(N,PE)-1  ТУ 27.32.13-004-32408375-2022</t>
  </si>
  <si>
    <t>КОСМОГЕР Вз-ВВГнг(А)-LS 5х2,5ок(N,PE)-1  ТУ 27.32.13-004-32408375-2022</t>
  </si>
  <si>
    <t>КОСМОГЕР Вз-ВВГнг(А)-LS 5х35мк(N,PE)-1  ТУ 27.32.13-004-32408375-2022</t>
  </si>
  <si>
    <t>КОСМОГЕР Вз-КВБШвнг(А)-LS 4х1,5-0,66 ТУ 27.32.13-004-32408375-2022</t>
  </si>
  <si>
    <t>КОСМОГЕР Вз-КВВГЭнг(А)-LS 4х1,5-0,66 ТУ 27.32.13-004-32408375-2022</t>
  </si>
  <si>
    <t>КОСМОГЕР Вз-КВВГЭнг(А)-LS 7х1,5-0,66 ТУ 27.32.13-004-32408375-2022</t>
  </si>
  <si>
    <t>КОСМОГЕР Вз-КВЭБШвнг(А)-LS 7х2,5-0,66 ТУ 27.32.13-004-32408375-2022</t>
  </si>
  <si>
    <t>КОСМОГЕР Вз-РэВГнг(А)-LS 2х4ок(N)-1 ТУ 27.32.13-004-32408375-2022</t>
  </si>
  <si>
    <t>КОСМОГЕР Вз-РэВГнг(А)-LS 4х2,5ок(N)-1 ТУ 27.32.13-004-32408375-2022</t>
  </si>
  <si>
    <t>КОСМОГЕР Вз-РэЭБШвнг(А)-LS 3х16мк(N,PE)-1 ТУ 27.32.13-004-32408375-2022</t>
  </si>
  <si>
    <t>КОСМОГЕР Вз-РэЭБШвнг(А)-LS 3х35мк(N,PE)-1 ТУ 27.32.13-004-32408375-2022</t>
  </si>
  <si>
    <t>КОСМОГЕР Вз-РэЭБШвнг(А)-LS 3х6ок(N,PE)-1 ТУ 27.32.13-004-32408375-2022</t>
  </si>
  <si>
    <t xml:space="preserve">КОСМОСИЛ-НН ВБШвнг(А)-LS 3х2,5ок(N,РЕ)-1 ТУ 27.32.14-002-32408375-2022 </t>
  </si>
  <si>
    <t xml:space="preserve">КОСМОСИЛ-НН ВБШвнг(А)-LS 3х25мк(N,РЕ)-1 ТУ 27.32.14-002-32408375-2022 </t>
  </si>
  <si>
    <t xml:space="preserve">КОСМОСИЛ-НН ВБШвнг(А)-LS 3х6ок(N,РЕ)-1 ТУ 27.32.14-002-32408375-2022 </t>
  </si>
  <si>
    <t xml:space="preserve">КОСМОСИЛ-НН ВБШвнг(А)-LS 4х6ок(N)-1 ТУ 27.32.14-002-32408375-2022 </t>
  </si>
  <si>
    <t xml:space="preserve">КОСМОСИЛ-НН ВБШвнг(А)-LS 5х16мк(N,РЕ)-1 ТУ 27.32.14-002-32408375-2022 </t>
  </si>
  <si>
    <t xml:space="preserve">КОСМОСИЛ-НН ВБШвнг(А)-LS 5х2,5ок(N,РЕ)-1 ТУ 27.32.14-002-32408375-2022 </t>
  </si>
  <si>
    <t xml:space="preserve">КОСМОСИЛ-НН ВБШвнг(А)-LS 5х25мк(N,РЕ)-1 ТУ 27.32.14-002-32408375-2022 </t>
  </si>
  <si>
    <t xml:space="preserve">КОСМОСИЛ-НН ВВГнг(А)-LS 3х10ок(N,РЕ)-1 ТУ 27.32.14-002-32408375-2022 </t>
  </si>
  <si>
    <t xml:space="preserve">КОСМОСИЛ-НН ВВГнг(А)-LS 3х2,5ок(N,РЕ)-1 ТУ 27.32.14-002-32408375-2022 </t>
  </si>
  <si>
    <t xml:space="preserve">КОСМОСИЛ-НН ВВГЭнг(А)-LS 4х2,5ок(N)-1 ТУ 27.32.14-002-32408375-2022 </t>
  </si>
  <si>
    <t xml:space="preserve">КОСМОСИЛ-НН КВБШвнг(А)-LS 37х2,5-0,66 ТУ 27.32.14-002-32408375-2022 </t>
  </si>
  <si>
    <t xml:space="preserve">КОСМОСИЛ-НН КВБШвнг(А)-LS 4х1,5-0,66 ТУ 27.32.14-002-32408375-2022 </t>
  </si>
  <si>
    <t xml:space="preserve">КОСМОСИЛ-НН КВВГнг(А)-LS 4х1,5-0,66 ТУ 27.32.14-002-32408375-2022 </t>
  </si>
  <si>
    <t xml:space="preserve">КОСМОСИЛ-НН КВВГнг(А)-LS 5х1,5-0,66 ТУ 27.32.14-002-32408375-2022 </t>
  </si>
  <si>
    <t xml:space="preserve">КОСМОСИЛ-НН КВЭБШвнг(А)-LS 5х1,5-0,66 ТУ 27.32.14-002-32408375-2022 </t>
  </si>
  <si>
    <t xml:space="preserve">КОСМОСИЛ-НН КРэВЭнг(А)-LS 4х2,5-0,66 ТУ 27.32.14-002-32408375-2022 </t>
  </si>
  <si>
    <t xml:space="preserve">КОСМОСИЛ-НН КРэВЭнг(А)-LS 4х4-0,66 ТУ 27.32.14-002-32408375-2022 </t>
  </si>
  <si>
    <t xml:space="preserve">КОСМОСИЛ-НН КРэВЭнг(А)-LS 5х6-0,66 ТУ 27.32.14-002-32408375-2022 </t>
  </si>
  <si>
    <t xml:space="preserve">КОСМОСИЛ-НН КРэВЭнг(А)-LS 7х1,5-0,66 ТУ 27.32.14-002-32408375-2022 </t>
  </si>
  <si>
    <t xml:space="preserve">КОСМОСИЛ-НН РэВнг(А)-LS 3х35мк(N,PE)-1 ТУ 27.32.14-002-32408375-2022 </t>
  </si>
  <si>
    <t xml:space="preserve">КОСМОСИЛ-НН РэВнг(А)-LS 3х6ок(N,PE)-1 ТУ 27.32.14-002-32408375-2022 </t>
  </si>
  <si>
    <t xml:space="preserve">КОСМОСИЛ-НН РэВнг(А)-LS 4х16мк(N)-1 ТУ 27.32.14-002-32408375-2022 </t>
  </si>
  <si>
    <t>Тип жилы</t>
  </si>
  <si>
    <t>Количество жил</t>
  </si>
  <si>
    <t>Фазировка</t>
  </si>
  <si>
    <t>EPR</t>
  </si>
  <si>
    <t>Желто-зеленый</t>
  </si>
  <si>
    <t>Синий</t>
  </si>
  <si>
    <t>Коричневый</t>
  </si>
  <si>
    <t>Черный</t>
  </si>
  <si>
    <t>Натуральный циф.</t>
  </si>
  <si>
    <t xml:space="preserve">КОСМОСИЛ-НН РэВнг(А)-LS 4х6ок(N)-1 ТУ 27.32.14-002-32408375-2022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</si>
</sst>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FFFFFF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0" fillId="11" borderId="3" xfId="0" applyFill="1" applyBorder="1"/>
    <xf numFmtId="0" fontId="0" fillId="12" borderId="3" xfId="0" applyFill="1" applyBorder="1"/>
    <xf numFmtId="0" fontId="0" fillId="11" borderId="4" xfId="0" applyFill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/>
    </xf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E75B6"/>
          <bgColor rgb="FF2E75B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6B12757-770C-4490-A557-DBF8CB2393ED}" autoFormatId="16" applyNumberFormats="0" applyBorderFormats="0" applyFontFormats="0" applyPatternFormats="0" applyAlignmentFormats="0" applyWidthHeightFormats="0">
  <queryTableRefresh nextId="2">
    <queryTableFields count="1">
      <queryTableField id="1" name="Марка кабеля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A3267-75F4-4929-AF3E-34A5254DCB1C}" name="Таблица2" displayName="Таблица2" ref="A2:A93" totalsRowShown="0" headerRowDxfId="4" headerRowBorderDxfId="3" tableBorderDxfId="2">
  <autoFilter ref="A2:A93" xr:uid="{64AA3267-75F4-4929-AF3E-34A5254DCB1C}"/>
  <tableColumns count="1">
    <tableColumn id="1" xr3:uid="{4860A363-5EF2-4852-9CAF-314B6C263730}" name="Марка каб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FE5DCE-31C8-4460-BEC1-10B6AF90FF6A}" name="Таблица2__2" displayName="Таблица2__2" ref="A2:A54" tableType="queryTable" totalsRowShown="0" tableBorderDxfId="1">
  <autoFilter ref="A2:A54" xr:uid="{6FFE5DCE-31C8-4460-BEC1-10B6AF90FF6A}"/>
  <tableColumns count="1">
    <tableColumn id="1" xr3:uid="{5B4F965C-C526-4BA1-8029-17CA3DDB5D5D}" uniqueName="1" name="Марка кабеля" queryTableField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workbookViewId="0">
      <pane ySplit="2" topLeftCell="A72" activePane="bottomLeft" state="frozen"/>
      <selection pane="bottomLeft" activeCell="A88" sqref="A88:A93"/>
    </sheetView>
  </sheetViews>
  <sheetFormatPr defaultRowHeight="14.5" x14ac:dyDescent="0.35"/>
  <cols>
    <col min="1" max="1" width="68.36328125" bestFit="1" customWidth="1"/>
    <col min="2" max="2" width="18" customWidth="1"/>
    <col min="3" max="3" width="55" customWidth="1"/>
  </cols>
  <sheetData>
    <row r="1" spans="1:6" ht="18" customHeight="1" x14ac:dyDescent="0.35">
      <c r="A1" s="17" t="s">
        <v>0</v>
      </c>
      <c r="B1" s="18"/>
      <c r="C1" s="18"/>
      <c r="D1" s="19" t="s">
        <v>1</v>
      </c>
      <c r="E1" s="18"/>
      <c r="F1" s="18"/>
    </row>
    <row r="2" spans="1:6" ht="36" customHeight="1" x14ac:dyDescent="0.35">
      <c r="A2" s="11" t="s">
        <v>2</v>
      </c>
      <c r="B2" s="1" t="s">
        <v>3</v>
      </c>
      <c r="C2" s="1" t="s">
        <v>4</v>
      </c>
    </row>
    <row r="3" spans="1:6" x14ac:dyDescent="0.35">
      <c r="A3" t="s">
        <v>82</v>
      </c>
      <c r="B3">
        <v>465</v>
      </c>
      <c r="C3" s="2"/>
    </row>
    <row r="4" spans="1:6" x14ac:dyDescent="0.35">
      <c r="A4" t="s">
        <v>82</v>
      </c>
      <c r="B4">
        <v>185</v>
      </c>
      <c r="C4" s="3"/>
    </row>
    <row r="5" spans="1:6" x14ac:dyDescent="0.35">
      <c r="A5" t="s">
        <v>83</v>
      </c>
      <c r="B5">
        <v>1700</v>
      </c>
      <c r="C5" s="2"/>
    </row>
    <row r="6" spans="1:6" x14ac:dyDescent="0.35">
      <c r="A6" t="s">
        <v>84</v>
      </c>
      <c r="B6">
        <v>410</v>
      </c>
      <c r="C6" s="3"/>
    </row>
    <row r="7" spans="1:6" x14ac:dyDescent="0.35">
      <c r="A7" t="s">
        <v>84</v>
      </c>
      <c r="B7">
        <v>330</v>
      </c>
      <c r="C7" s="2"/>
    </row>
    <row r="8" spans="1:6" x14ac:dyDescent="0.35">
      <c r="A8" t="s">
        <v>85</v>
      </c>
      <c r="B8">
        <v>7855</v>
      </c>
    </row>
    <row r="9" spans="1:6" x14ac:dyDescent="0.35">
      <c r="A9" t="s">
        <v>86</v>
      </c>
      <c r="B9">
        <v>7215</v>
      </c>
    </row>
    <row r="10" spans="1:6" x14ac:dyDescent="0.35">
      <c r="A10" t="s">
        <v>86</v>
      </c>
      <c r="B10">
        <v>2710</v>
      </c>
    </row>
    <row r="11" spans="1:6" x14ac:dyDescent="0.35">
      <c r="A11" t="s">
        <v>87</v>
      </c>
      <c r="B11">
        <v>4770</v>
      </c>
    </row>
    <row r="12" spans="1:6" x14ac:dyDescent="0.35">
      <c r="A12" t="s">
        <v>88</v>
      </c>
      <c r="B12">
        <v>460</v>
      </c>
    </row>
    <row r="13" spans="1:6" x14ac:dyDescent="0.35">
      <c r="A13" t="s">
        <v>88</v>
      </c>
      <c r="B13">
        <v>670</v>
      </c>
    </row>
    <row r="14" spans="1:6" x14ac:dyDescent="0.35">
      <c r="A14" t="s">
        <v>88</v>
      </c>
      <c r="B14">
        <v>790</v>
      </c>
    </row>
    <row r="15" spans="1:6" x14ac:dyDescent="0.35">
      <c r="A15" t="s">
        <v>88</v>
      </c>
      <c r="B15">
        <v>350</v>
      </c>
    </row>
    <row r="16" spans="1:6" x14ac:dyDescent="0.35">
      <c r="A16" t="s">
        <v>88</v>
      </c>
      <c r="B16">
        <v>705</v>
      </c>
    </row>
    <row r="17" spans="1:2" x14ac:dyDescent="0.35">
      <c r="A17" t="s">
        <v>88</v>
      </c>
      <c r="B17">
        <v>1035</v>
      </c>
    </row>
    <row r="18" spans="1:2" x14ac:dyDescent="0.35">
      <c r="A18" t="s">
        <v>89</v>
      </c>
      <c r="B18">
        <v>6275</v>
      </c>
    </row>
    <row r="19" spans="1:2" x14ac:dyDescent="0.35">
      <c r="A19" t="s">
        <v>89</v>
      </c>
      <c r="B19">
        <v>500</v>
      </c>
    </row>
    <row r="20" spans="1:2" x14ac:dyDescent="0.35">
      <c r="A20" t="s">
        <v>89</v>
      </c>
      <c r="B20">
        <v>960</v>
      </c>
    </row>
    <row r="21" spans="1:2" x14ac:dyDescent="0.35">
      <c r="A21" t="s">
        <v>89</v>
      </c>
      <c r="B21">
        <v>700</v>
      </c>
    </row>
    <row r="22" spans="1:2" x14ac:dyDescent="0.35">
      <c r="A22" t="s">
        <v>89</v>
      </c>
      <c r="B22">
        <v>1135</v>
      </c>
    </row>
    <row r="23" spans="1:2" x14ac:dyDescent="0.35">
      <c r="A23" t="s">
        <v>89</v>
      </c>
      <c r="B23">
        <v>960</v>
      </c>
    </row>
    <row r="24" spans="1:2" x14ac:dyDescent="0.35">
      <c r="A24" t="s">
        <v>89</v>
      </c>
      <c r="B24">
        <v>325</v>
      </c>
    </row>
    <row r="25" spans="1:2" x14ac:dyDescent="0.35">
      <c r="A25" t="s">
        <v>89</v>
      </c>
      <c r="B25">
        <v>850</v>
      </c>
    </row>
    <row r="26" spans="1:2" x14ac:dyDescent="0.35">
      <c r="A26" t="s">
        <v>89</v>
      </c>
      <c r="B26">
        <v>600</v>
      </c>
    </row>
    <row r="27" spans="1:2" x14ac:dyDescent="0.35">
      <c r="A27" t="s">
        <v>90</v>
      </c>
      <c r="B27">
        <v>450</v>
      </c>
    </row>
    <row r="28" spans="1:2" x14ac:dyDescent="0.35">
      <c r="A28" t="s">
        <v>90</v>
      </c>
      <c r="B28">
        <v>650</v>
      </c>
    </row>
    <row r="29" spans="1:2" x14ac:dyDescent="0.35">
      <c r="A29" t="s">
        <v>90</v>
      </c>
      <c r="B29">
        <v>610</v>
      </c>
    </row>
    <row r="30" spans="1:2" x14ac:dyDescent="0.35">
      <c r="A30" t="s">
        <v>90</v>
      </c>
      <c r="B30">
        <v>1800</v>
      </c>
    </row>
    <row r="31" spans="1:2" x14ac:dyDescent="0.35">
      <c r="A31" t="s">
        <v>90</v>
      </c>
      <c r="B31">
        <v>440</v>
      </c>
    </row>
    <row r="32" spans="1:2" x14ac:dyDescent="0.35">
      <c r="A32" t="s">
        <v>90</v>
      </c>
      <c r="B32">
        <v>115</v>
      </c>
    </row>
    <row r="33" spans="1:2" x14ac:dyDescent="0.35">
      <c r="A33" t="s">
        <v>91</v>
      </c>
      <c r="B33">
        <v>10</v>
      </c>
    </row>
    <row r="34" spans="1:2" x14ac:dyDescent="0.35">
      <c r="A34" t="s">
        <v>92</v>
      </c>
      <c r="B34">
        <v>330</v>
      </c>
    </row>
    <row r="35" spans="1:2" x14ac:dyDescent="0.35">
      <c r="A35" t="s">
        <v>93</v>
      </c>
      <c r="B35">
        <v>620</v>
      </c>
    </row>
    <row r="36" spans="1:2" x14ac:dyDescent="0.35">
      <c r="A36" t="s">
        <v>94</v>
      </c>
      <c r="B36">
        <v>1595</v>
      </c>
    </row>
    <row r="37" spans="1:2" x14ac:dyDescent="0.35">
      <c r="A37" t="s">
        <v>94</v>
      </c>
      <c r="B37">
        <v>1910</v>
      </c>
    </row>
    <row r="38" spans="1:2" x14ac:dyDescent="0.35">
      <c r="A38" t="s">
        <v>95</v>
      </c>
      <c r="B38">
        <v>735</v>
      </c>
    </row>
    <row r="39" spans="1:2" x14ac:dyDescent="0.35">
      <c r="A39" t="s">
        <v>96</v>
      </c>
      <c r="B39">
        <v>70</v>
      </c>
    </row>
    <row r="40" spans="1:2" x14ac:dyDescent="0.35">
      <c r="A40" t="s">
        <v>97</v>
      </c>
      <c r="B40">
        <v>45</v>
      </c>
    </row>
    <row r="41" spans="1:2" x14ac:dyDescent="0.35">
      <c r="A41" t="s">
        <v>97</v>
      </c>
      <c r="B41">
        <v>105</v>
      </c>
    </row>
    <row r="42" spans="1:2" x14ac:dyDescent="0.35">
      <c r="A42" t="s">
        <v>97</v>
      </c>
      <c r="B42">
        <v>195</v>
      </c>
    </row>
    <row r="43" spans="1:2" x14ac:dyDescent="0.35">
      <c r="A43" t="s">
        <v>98</v>
      </c>
      <c r="B43">
        <v>300</v>
      </c>
    </row>
    <row r="44" spans="1:2" x14ac:dyDescent="0.35">
      <c r="A44" t="s">
        <v>99</v>
      </c>
      <c r="B44">
        <v>400</v>
      </c>
    </row>
    <row r="45" spans="1:2" x14ac:dyDescent="0.35">
      <c r="A45" t="s">
        <v>99</v>
      </c>
      <c r="B45">
        <v>120</v>
      </c>
    </row>
    <row r="46" spans="1:2" x14ac:dyDescent="0.35">
      <c r="A46" t="s">
        <v>100</v>
      </c>
      <c r="B46">
        <v>208</v>
      </c>
    </row>
    <row r="47" spans="1:2" x14ac:dyDescent="0.35">
      <c r="A47" t="s">
        <v>100</v>
      </c>
      <c r="B47">
        <v>270</v>
      </c>
    </row>
    <row r="48" spans="1:2" x14ac:dyDescent="0.35">
      <c r="A48" t="s">
        <v>100</v>
      </c>
      <c r="B48">
        <v>210</v>
      </c>
    </row>
    <row r="49" spans="1:2" x14ac:dyDescent="0.35">
      <c r="A49" t="s">
        <v>101</v>
      </c>
      <c r="B49">
        <v>80</v>
      </c>
    </row>
    <row r="50" spans="1:2" x14ac:dyDescent="0.35">
      <c r="A50" t="s">
        <v>101</v>
      </c>
      <c r="B50">
        <v>60</v>
      </c>
    </row>
    <row r="51" spans="1:2" x14ac:dyDescent="0.35">
      <c r="A51" t="s">
        <v>101</v>
      </c>
      <c r="B51">
        <v>320</v>
      </c>
    </row>
    <row r="52" spans="1:2" x14ac:dyDescent="0.35">
      <c r="A52" t="s">
        <v>102</v>
      </c>
      <c r="B52">
        <v>50</v>
      </c>
    </row>
    <row r="53" spans="1:2" x14ac:dyDescent="0.35">
      <c r="A53" t="s">
        <v>103</v>
      </c>
      <c r="B53">
        <v>180</v>
      </c>
    </row>
    <row r="54" spans="1:2" x14ac:dyDescent="0.35">
      <c r="A54" t="s">
        <v>104</v>
      </c>
      <c r="B54">
        <v>240</v>
      </c>
    </row>
    <row r="55" spans="1:2" x14ac:dyDescent="0.35">
      <c r="A55" t="s">
        <v>104</v>
      </c>
      <c r="B55">
        <v>255</v>
      </c>
    </row>
    <row r="56" spans="1:2" x14ac:dyDescent="0.35">
      <c r="A56" t="s">
        <v>105</v>
      </c>
      <c r="B56">
        <v>40</v>
      </c>
    </row>
    <row r="57" spans="1:2" x14ac:dyDescent="0.35">
      <c r="A57" t="s">
        <v>105</v>
      </c>
      <c r="B57">
        <v>410</v>
      </c>
    </row>
    <row r="58" spans="1:2" x14ac:dyDescent="0.35">
      <c r="A58" t="s">
        <v>106</v>
      </c>
      <c r="B58">
        <v>10</v>
      </c>
    </row>
    <row r="59" spans="1:2" x14ac:dyDescent="0.35">
      <c r="A59" t="s">
        <v>107</v>
      </c>
      <c r="B59">
        <v>20</v>
      </c>
    </row>
    <row r="60" spans="1:2" x14ac:dyDescent="0.35">
      <c r="A60" t="s">
        <v>107</v>
      </c>
      <c r="B60">
        <v>10</v>
      </c>
    </row>
    <row r="61" spans="1:2" x14ac:dyDescent="0.35">
      <c r="A61" t="s">
        <v>107</v>
      </c>
      <c r="B61">
        <v>20</v>
      </c>
    </row>
    <row r="62" spans="1:2" x14ac:dyDescent="0.35">
      <c r="A62" t="s">
        <v>108</v>
      </c>
      <c r="B62">
        <v>275</v>
      </c>
    </row>
    <row r="63" spans="1:2" x14ac:dyDescent="0.35">
      <c r="A63" t="s">
        <v>109</v>
      </c>
      <c r="B63">
        <v>330</v>
      </c>
    </row>
    <row r="64" spans="1:2" x14ac:dyDescent="0.35">
      <c r="A64" t="s">
        <v>110</v>
      </c>
      <c r="B64">
        <v>780</v>
      </c>
    </row>
    <row r="65" spans="1:2" x14ac:dyDescent="0.35">
      <c r="A65" t="s">
        <v>111</v>
      </c>
      <c r="B65">
        <v>424</v>
      </c>
    </row>
    <row r="66" spans="1:2" x14ac:dyDescent="0.35">
      <c r="A66" t="s">
        <v>112</v>
      </c>
      <c r="B66">
        <v>450</v>
      </c>
    </row>
    <row r="67" spans="1:2" x14ac:dyDescent="0.35">
      <c r="A67" t="s">
        <v>113</v>
      </c>
      <c r="B67">
        <v>80</v>
      </c>
    </row>
    <row r="68" spans="1:2" x14ac:dyDescent="0.35">
      <c r="A68" t="s">
        <v>114</v>
      </c>
      <c r="B68">
        <v>720</v>
      </c>
    </row>
    <row r="69" spans="1:2" x14ac:dyDescent="0.35">
      <c r="A69" t="s">
        <v>115</v>
      </c>
      <c r="B69">
        <v>430</v>
      </c>
    </row>
    <row r="70" spans="1:2" x14ac:dyDescent="0.35">
      <c r="A70" t="s">
        <v>116</v>
      </c>
      <c r="B70">
        <v>324</v>
      </c>
    </row>
    <row r="71" spans="1:2" x14ac:dyDescent="0.35">
      <c r="A71" t="s">
        <v>117</v>
      </c>
      <c r="B71">
        <v>200</v>
      </c>
    </row>
    <row r="72" spans="1:2" x14ac:dyDescent="0.35">
      <c r="A72" t="s">
        <v>118</v>
      </c>
      <c r="B72">
        <v>440</v>
      </c>
    </row>
    <row r="73" spans="1:2" x14ac:dyDescent="0.35">
      <c r="A73" t="s">
        <v>119</v>
      </c>
      <c r="B73">
        <v>100</v>
      </c>
    </row>
    <row r="74" spans="1:2" x14ac:dyDescent="0.35">
      <c r="A74" t="s">
        <v>120</v>
      </c>
      <c r="B74">
        <v>390</v>
      </c>
    </row>
    <row r="75" spans="1:2" x14ac:dyDescent="0.35">
      <c r="A75" t="s">
        <v>121</v>
      </c>
      <c r="B75">
        <v>2960</v>
      </c>
    </row>
    <row r="76" spans="1:2" x14ac:dyDescent="0.35">
      <c r="A76" t="s">
        <v>122</v>
      </c>
      <c r="B76">
        <v>100</v>
      </c>
    </row>
    <row r="77" spans="1:2" x14ac:dyDescent="0.35">
      <c r="A77" t="s">
        <v>123</v>
      </c>
      <c r="B77">
        <v>20</v>
      </c>
    </row>
    <row r="78" spans="1:2" x14ac:dyDescent="0.35">
      <c r="A78" t="s">
        <v>124</v>
      </c>
      <c r="B78">
        <v>610</v>
      </c>
    </row>
    <row r="79" spans="1:2" x14ac:dyDescent="0.35">
      <c r="A79" t="s">
        <v>125</v>
      </c>
      <c r="B79">
        <v>940</v>
      </c>
    </row>
    <row r="80" spans="1:2" x14ac:dyDescent="0.35">
      <c r="A80" t="s">
        <v>126</v>
      </c>
      <c r="B80">
        <v>300</v>
      </c>
    </row>
    <row r="81" spans="1:2" x14ac:dyDescent="0.35">
      <c r="A81" t="s">
        <v>127</v>
      </c>
      <c r="B81">
        <v>2500</v>
      </c>
    </row>
    <row r="82" spans="1:2" x14ac:dyDescent="0.35">
      <c r="A82" t="s">
        <v>128</v>
      </c>
      <c r="B82">
        <v>80</v>
      </c>
    </row>
    <row r="83" spans="1:2" x14ac:dyDescent="0.35">
      <c r="A83" t="s">
        <v>129</v>
      </c>
      <c r="B83">
        <v>3000</v>
      </c>
    </row>
    <row r="84" spans="1:2" x14ac:dyDescent="0.35">
      <c r="A84" t="s">
        <v>130</v>
      </c>
      <c r="B84">
        <v>125</v>
      </c>
    </row>
    <row r="85" spans="1:2" x14ac:dyDescent="0.35">
      <c r="A85" t="s">
        <v>131</v>
      </c>
      <c r="B85">
        <v>960</v>
      </c>
    </row>
    <row r="86" spans="1:2" x14ac:dyDescent="0.35">
      <c r="A86" t="s">
        <v>132</v>
      </c>
      <c r="B86">
        <v>80</v>
      </c>
    </row>
    <row r="87" spans="1:2" x14ac:dyDescent="0.35">
      <c r="A87" t="s">
        <v>142</v>
      </c>
      <c r="B87">
        <v>50</v>
      </c>
    </row>
    <row r="88" spans="1:2" x14ac:dyDescent="0.35">
      <c r="B88">
        <v>12</v>
      </c>
    </row>
    <row r="89" spans="1:2" x14ac:dyDescent="0.35">
      <c r="B89">
        <v>14</v>
      </c>
    </row>
    <row r="90" spans="1:2" x14ac:dyDescent="0.35">
      <c r="B90">
        <v>55</v>
      </c>
    </row>
    <row r="91" spans="1:2" x14ac:dyDescent="0.35">
      <c r="B91">
        <v>12</v>
      </c>
    </row>
    <row r="92" spans="1:2" x14ac:dyDescent="0.35">
      <c r="B92">
        <v>1200</v>
      </c>
    </row>
    <row r="93" spans="1:2" x14ac:dyDescent="0.35">
      <c r="B93">
        <v>102</v>
      </c>
    </row>
  </sheetData>
  <mergeCells count="2">
    <mergeCell ref="A1:C1"/>
    <mergeCell ref="D1:F1"/>
  </mergeCells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zoomScale="85" zoomScaleNormal="85" workbookViewId="0">
      <pane ySplit="2" topLeftCell="A36" activePane="bottomLeft" state="frozen"/>
      <selection pane="bottomLeft" activeCell="K54" sqref="K54"/>
    </sheetView>
  </sheetViews>
  <sheetFormatPr defaultRowHeight="14.5" x14ac:dyDescent="0.35"/>
  <cols>
    <col min="1" max="1" width="68.36328125" bestFit="1" customWidth="1"/>
    <col min="2" max="2" width="13" customWidth="1"/>
    <col min="3" max="3" width="12" customWidth="1"/>
    <col min="4" max="4" width="14" customWidth="1"/>
    <col min="5" max="5" width="17" customWidth="1"/>
    <col min="6" max="10" width="16" customWidth="1"/>
    <col min="11" max="11" width="30" customWidth="1"/>
  </cols>
  <sheetData>
    <row r="1" spans="1:19" ht="18" customHeight="1" x14ac:dyDescent="0.35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9" t="s">
        <v>6</v>
      </c>
      <c r="L1" s="18"/>
      <c r="M1" s="18"/>
      <c r="N1" s="18"/>
    </row>
    <row r="2" spans="1:19" ht="40" customHeight="1" x14ac:dyDescent="0.35">
      <c r="A2" t="s">
        <v>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Q2" t="s">
        <v>133</v>
      </c>
      <c r="R2" t="s">
        <v>134</v>
      </c>
      <c r="S2" t="s">
        <v>135</v>
      </c>
    </row>
    <row r="3" spans="1:19" x14ac:dyDescent="0.35">
      <c r="A3" t="s">
        <v>82</v>
      </c>
      <c r="B3" t="str">
        <f>IFERROR(
    IF(
        ISNUMBER(SEARCH("ок", Q3)),
        REPLACE(Q3, SEARCH("ок", Q3), 2, ""),
        IF(
            ISNUMBER(SEARCH("мк", Q3)),
            REPLACE(Q3, SEARCH("мк", Q3), 2, ""),
            Q3
        )
    ),
    "Ошибка"
)</f>
        <v>2,5</v>
      </c>
      <c r="C3" t="str">
        <f>IF(
    ISNUMBER(SEARCH("ок", Q4)),
    "ок",
    IF(
        ISNUMBER(SEARCH("мк", Q4)),
        "мк",
        "ок-к"
    )
)</f>
        <v>мк</v>
      </c>
      <c r="D3" t="str">
        <f>IF(
    ISNUMBER(SEARCH("FR", Таблица2__2[[#This Row],[Марка кабеля]])),
    "FR",
    ""
)</f>
        <v/>
      </c>
      <c r="E3" t="s">
        <v>20</v>
      </c>
      <c r="F3" t="str">
        <f>IF( R3 &gt;= 1, "Натуральный", "-" )</f>
        <v>Натуральный</v>
      </c>
      <c r="G3" t="s">
        <v>137</v>
      </c>
      <c r="H3" t="s">
        <v>138</v>
      </c>
      <c r="K3" s="12" t="s">
        <v>21</v>
      </c>
      <c r="Q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3">
        <f>IFERROR(
    --MID(
        A3,
        SEARCH("@", SUBSTITUTE(LEFT(A3, FIND("х", A3)-1), " ", "@", LEN(LEFT(A3, FIND("х", A3)-1)) - LEN(SUBSTITUTE(LEFT(A3, FIND("х", A3)-1), " ", "")))) + 1,
        FIND("х", A3) - (SEARCH("@", SUBSTITUTE(LEFT(A3, FIND("х", A3)-1), " ", "@", LEN(LEFT(A3, FIND("х", A3)-1)) - LEN(SUBSTITUTE(LEFT(A3, FIND("х", A3)-1), " ", "")))) + 1)
    ),
    0
)</f>
        <v>3</v>
      </c>
      <c r="S3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4" spans="1:19" x14ac:dyDescent="0.35">
      <c r="A4" t="s">
        <v>83</v>
      </c>
      <c r="B4" t="str">
        <f t="shared" ref="B4:B53" si="0">IFERROR(
    IF(
        ISNUMBER(SEARCH("ок", Q4)),
        REPLACE(Q4, SEARCH("ок", Q4), 2, ""),
        IF(
            ISNUMBER(SEARCH("мк", Q4)),
            REPLACE(Q4, SEARCH("мк", Q4), 2, ""),
            Q4
        )
    ),
    "Ошибка"
)</f>
        <v>25</v>
      </c>
      <c r="C4" t="str">
        <f t="shared" ref="C4:C53" si="1">IF(
    ISNUMBER(SEARCH("ок", Q5)),
    "ок",
    IF(
        ISNUMBER(SEARCH("мк", Q5)),
        "мк",
        "ок-к"
    )
)</f>
        <v>ок</v>
      </c>
      <c r="D4" t="str">
        <f>IF(
    ISNUMBER(SEARCH("FR", Таблица2__2[[#This Row],[Марка кабеля]])),
    "FR",
    ""
)</f>
        <v/>
      </c>
      <c r="E4" t="s">
        <v>20</v>
      </c>
      <c r="F4" t="str">
        <f t="shared" ref="F4:F53" si="2">IF( R4 &gt;= 1, "Натуральный", "-" )</f>
        <v>Натуральный</v>
      </c>
      <c r="G4" t="s">
        <v>137</v>
      </c>
      <c r="H4" t="s">
        <v>138</v>
      </c>
      <c r="K4" s="13" t="s">
        <v>21</v>
      </c>
      <c r="Q4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4">
        <f t="shared" ref="R4:R53" si="3">IFERROR(
    --MID(
        A4,
        SEARCH("@", SUBSTITUTE(LEFT(A4, FIND("х", A4)-1), " ", "@", LEN(LEFT(A4, FIND("х", A4)-1)) - LEN(SUBSTITUTE(LEFT(A4, FIND("х", A4)-1), " ", "")))) + 1,
        FIND("х", A4) - (SEARCH("@", SUBSTITUTE(LEFT(A4, FIND("х", A4)-1), " ", "@", LEN(LEFT(A4, FIND("х", A4)-1)) - LEN(SUBSTITUTE(LEFT(A4, FIND("х", A4)-1), " ", "")))) + 1)
    ),
    0
)</f>
        <v>3</v>
      </c>
      <c r="S4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5" spans="1:19" x14ac:dyDescent="0.35">
      <c r="A5" t="s">
        <v>84</v>
      </c>
      <c r="B5" t="str">
        <f t="shared" si="0"/>
        <v>4</v>
      </c>
      <c r="C5" t="str">
        <f t="shared" si="1"/>
        <v>мк</v>
      </c>
      <c r="D5" t="str">
        <f>IF(
    ISNUMBER(SEARCH("FR", Таблица2__2[[#This Row],[Марка кабеля]])),
    "FR",
    ""
)</f>
        <v/>
      </c>
      <c r="E5" t="s">
        <v>20</v>
      </c>
      <c r="F5" t="str">
        <f t="shared" si="2"/>
        <v>Натуральный</v>
      </c>
      <c r="G5" t="s">
        <v>137</v>
      </c>
      <c r="H5" t="s">
        <v>138</v>
      </c>
      <c r="K5" s="12" t="s">
        <v>24</v>
      </c>
      <c r="Q5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4ок</v>
      </c>
      <c r="R5">
        <f t="shared" si="3"/>
        <v>3</v>
      </c>
      <c r="S5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6" spans="1:19" x14ac:dyDescent="0.35">
      <c r="A6" t="s">
        <v>85</v>
      </c>
      <c r="B6" t="str">
        <f t="shared" si="0"/>
        <v>16</v>
      </c>
      <c r="C6" t="str">
        <f t="shared" si="1"/>
        <v>мк</v>
      </c>
      <c r="D6" t="str">
        <f>IF(
    ISNUMBER(SEARCH("FR", Таблица2__2[[#This Row],[Марка кабеля]])),
    "FR",
    ""
)</f>
        <v/>
      </c>
      <c r="E6" t="s">
        <v>20</v>
      </c>
      <c r="F6" t="str">
        <f t="shared" ref="F6:F8" si="4">IF( R6 &gt;= 1, "Натуральный", "-" )</f>
        <v>Натуральный</v>
      </c>
      <c r="H6" t="s">
        <v>138</v>
      </c>
      <c r="I6" t="s">
        <v>139</v>
      </c>
      <c r="J6" t="s">
        <v>140</v>
      </c>
      <c r="K6" s="13" t="s">
        <v>25</v>
      </c>
      <c r="Q6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6">
        <f t="shared" si="3"/>
        <v>4</v>
      </c>
      <c r="S6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7" spans="1:19" x14ac:dyDescent="0.35">
      <c r="A7" t="s">
        <v>86</v>
      </c>
      <c r="B7" t="str">
        <f t="shared" si="0"/>
        <v>25</v>
      </c>
      <c r="C7" t="str">
        <f t="shared" si="1"/>
        <v>мк</v>
      </c>
      <c r="D7" t="str">
        <f>IF(
    ISNUMBER(SEARCH("FR", Таблица2__2[[#This Row],[Марка кабеля]])),
    "FR",
    ""
)</f>
        <v/>
      </c>
      <c r="E7" t="s">
        <v>20</v>
      </c>
      <c r="F7" t="str">
        <f t="shared" si="4"/>
        <v>Натуральный</v>
      </c>
      <c r="H7" t="s">
        <v>138</v>
      </c>
      <c r="I7" t="s">
        <v>139</v>
      </c>
      <c r="J7" t="s">
        <v>140</v>
      </c>
      <c r="K7" s="12" t="s">
        <v>25</v>
      </c>
      <c r="Q7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7">
        <f t="shared" si="3"/>
        <v>4</v>
      </c>
      <c r="S7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8" spans="1:19" x14ac:dyDescent="0.35">
      <c r="A8" t="s">
        <v>87</v>
      </c>
      <c r="B8" t="str">
        <f t="shared" si="0"/>
        <v>35</v>
      </c>
      <c r="C8" t="str">
        <f t="shared" si="1"/>
        <v>мк</v>
      </c>
      <c r="D8" t="str">
        <f>IF(
    ISNUMBER(SEARCH("FR", Таблица2__2[[#This Row],[Марка кабеля]])),
    "FR",
    ""
)</f>
        <v/>
      </c>
      <c r="E8" t="s">
        <v>20</v>
      </c>
      <c r="F8" t="str">
        <f t="shared" si="4"/>
        <v>Натуральный</v>
      </c>
      <c r="H8" t="s">
        <v>138</v>
      </c>
      <c r="I8" t="s">
        <v>139</v>
      </c>
      <c r="J8" t="s">
        <v>140</v>
      </c>
      <c r="K8" s="12" t="s">
        <v>25</v>
      </c>
      <c r="Q8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8">
        <f t="shared" si="3"/>
        <v>4</v>
      </c>
      <c r="S8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9" spans="1:19" x14ac:dyDescent="0.35">
      <c r="A9" t="s">
        <v>88</v>
      </c>
      <c r="B9" t="str">
        <f t="shared" si="0"/>
        <v>16</v>
      </c>
      <c r="C9" t="str">
        <f t="shared" si="1"/>
        <v>мк</v>
      </c>
      <c r="D9" t="str">
        <f>IF(
    ISNUMBER(SEARCH("FR", Таблица2__2[[#This Row],[Марка кабеля]])),
    "FR",
    ""
)</f>
        <v/>
      </c>
      <c r="E9" t="s">
        <v>20</v>
      </c>
      <c r="F9" t="str">
        <f t="shared" si="2"/>
        <v>Натуральный</v>
      </c>
      <c r="G9" t="s">
        <v>137</v>
      </c>
      <c r="H9" t="s">
        <v>138</v>
      </c>
      <c r="I9" t="s">
        <v>139</v>
      </c>
      <c r="J9" t="s">
        <v>140</v>
      </c>
      <c r="K9" s="12" t="s">
        <v>25</v>
      </c>
      <c r="Q9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9">
        <f t="shared" si="3"/>
        <v>5</v>
      </c>
      <c r="S9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0" spans="1:19" x14ac:dyDescent="0.35">
      <c r="A10" t="s">
        <v>89</v>
      </c>
      <c r="B10" t="str">
        <f t="shared" si="0"/>
        <v>25</v>
      </c>
      <c r="C10" t="str">
        <f t="shared" si="1"/>
        <v>мк</v>
      </c>
      <c r="D10" t="str">
        <f>IF(
    ISNUMBER(SEARCH("FR", Таблица2__2[[#This Row],[Марка кабеля]])),
    "FR",
    ""
)</f>
        <v/>
      </c>
      <c r="E10" t="s">
        <v>20</v>
      </c>
      <c r="F10" t="str">
        <f t="shared" si="2"/>
        <v>Натуральный</v>
      </c>
      <c r="G10" t="s">
        <v>137</v>
      </c>
      <c r="H10" t="s">
        <v>138</v>
      </c>
      <c r="I10" t="s">
        <v>139</v>
      </c>
      <c r="J10" t="s">
        <v>140</v>
      </c>
      <c r="K10" s="12" t="s">
        <v>25</v>
      </c>
      <c r="Q10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10">
        <f t="shared" si="3"/>
        <v>5</v>
      </c>
      <c r="S10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1" spans="1:19" x14ac:dyDescent="0.35">
      <c r="A11" t="s">
        <v>90</v>
      </c>
      <c r="B11" t="str">
        <f t="shared" si="0"/>
        <v>35</v>
      </c>
      <c r="C11" t="str">
        <f t="shared" si="1"/>
        <v>ок</v>
      </c>
      <c r="D11" t="str">
        <f>IF(
    ISNUMBER(SEARCH("FR", Таблица2__2[[#This Row],[Марка кабеля]])),
    "FR",
    ""
)</f>
        <v/>
      </c>
      <c r="E11" t="s">
        <v>20</v>
      </c>
      <c r="F11" t="str">
        <f t="shared" si="2"/>
        <v>Натуральный</v>
      </c>
      <c r="G11" t="s">
        <v>137</v>
      </c>
      <c r="H11" t="s">
        <v>138</v>
      </c>
      <c r="I11" t="s">
        <v>139</v>
      </c>
      <c r="J11" t="s">
        <v>140</v>
      </c>
      <c r="K11" s="12" t="s">
        <v>25</v>
      </c>
      <c r="Q11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11">
        <f t="shared" si="3"/>
        <v>5</v>
      </c>
      <c r="S11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2" spans="1:19" x14ac:dyDescent="0.35">
      <c r="A12" t="s">
        <v>91</v>
      </c>
      <c r="B12" t="str">
        <f t="shared" si="0"/>
        <v>4</v>
      </c>
      <c r="C12" t="str">
        <f t="shared" si="1"/>
        <v>ок</v>
      </c>
      <c r="D12" t="str">
        <f>IF(
    ISNUMBER(SEARCH("FR", Таблица2__2[[#This Row],[Марка кабеля]])),
    "FR",
    ""
)</f>
        <v/>
      </c>
      <c r="E12" t="s">
        <v>20</v>
      </c>
      <c r="F12" t="str">
        <f t="shared" si="2"/>
        <v>Натуральный</v>
      </c>
      <c r="G12" t="s">
        <v>137</v>
      </c>
      <c r="H12" t="s">
        <v>138</v>
      </c>
      <c r="I12" t="s">
        <v>139</v>
      </c>
      <c r="J12" t="s">
        <v>140</v>
      </c>
      <c r="K12" s="12" t="s">
        <v>25</v>
      </c>
      <c r="Q12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4ок</v>
      </c>
      <c r="R12">
        <f t="shared" si="3"/>
        <v>5</v>
      </c>
      <c r="S12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3" spans="1:19" x14ac:dyDescent="0.35">
      <c r="A13" t="s">
        <v>92</v>
      </c>
      <c r="B13" t="str">
        <f t="shared" si="0"/>
        <v>2,5</v>
      </c>
      <c r="C13" t="str">
        <f t="shared" si="1"/>
        <v>мк</v>
      </c>
      <c r="D13" t="str">
        <f>IF(
    ISNUMBER(SEARCH("FR", Таблица2__2[[#This Row],[Марка кабеля]])),
    "FR",
    ""
)</f>
        <v>FR</v>
      </c>
      <c r="E13" t="s">
        <v>20</v>
      </c>
      <c r="F13" t="str">
        <f t="shared" si="2"/>
        <v>Натуральный</v>
      </c>
      <c r="G13" t="s">
        <v>137</v>
      </c>
      <c r="H13" t="s">
        <v>138</v>
      </c>
      <c r="I13" t="s">
        <v>139</v>
      </c>
      <c r="J13" t="s">
        <v>140</v>
      </c>
      <c r="K13" s="12" t="s">
        <v>25</v>
      </c>
      <c r="Q1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13">
        <f t="shared" si="3"/>
        <v>3</v>
      </c>
      <c r="S13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4" spans="1:19" x14ac:dyDescent="0.35">
      <c r="A14" t="s">
        <v>93</v>
      </c>
      <c r="B14" t="str">
        <f t="shared" si="0"/>
        <v>16</v>
      </c>
      <c r="C14" t="str">
        <f t="shared" si="1"/>
        <v>мк</v>
      </c>
      <c r="D14" t="str">
        <f>IF(
    ISNUMBER(SEARCH("FR", Таблица2__2[[#This Row],[Марка кабеля]])),
    "FR",
    ""
)</f>
        <v>FR</v>
      </c>
      <c r="E14" t="s">
        <v>20</v>
      </c>
      <c r="F14" t="str">
        <f t="shared" si="2"/>
        <v>Натуральный</v>
      </c>
      <c r="G14" t="s">
        <v>137</v>
      </c>
      <c r="H14" t="s">
        <v>138</v>
      </c>
      <c r="I14" t="s">
        <v>139</v>
      </c>
      <c r="J14" t="s">
        <v>140</v>
      </c>
      <c r="K14" s="12" t="s">
        <v>25</v>
      </c>
      <c r="Q14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14">
        <f t="shared" si="3"/>
        <v>5</v>
      </c>
      <c r="S14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5" spans="1:19" x14ac:dyDescent="0.35">
      <c r="A15" t="s">
        <v>94</v>
      </c>
      <c r="B15" t="str">
        <f t="shared" si="0"/>
        <v>25</v>
      </c>
      <c r="C15" t="str">
        <f t="shared" si="1"/>
        <v>мк</v>
      </c>
      <c r="D15" t="str">
        <f>IF(
    ISNUMBER(SEARCH("FR", Таблица2__2[[#This Row],[Марка кабеля]])),
    "FR",
    ""
)</f>
        <v>FR</v>
      </c>
      <c r="E15" t="s">
        <v>20</v>
      </c>
      <c r="F15" t="str">
        <f t="shared" si="2"/>
        <v>Натуральный</v>
      </c>
      <c r="G15" t="s">
        <v>137</v>
      </c>
      <c r="H15" t="s">
        <v>138</v>
      </c>
      <c r="I15" t="s">
        <v>139</v>
      </c>
      <c r="J15" t="s">
        <v>140</v>
      </c>
      <c r="K15" s="12" t="s">
        <v>25</v>
      </c>
      <c r="Q15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15">
        <f t="shared" si="3"/>
        <v>5</v>
      </c>
      <c r="S15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6" spans="1:19" x14ac:dyDescent="0.35">
      <c r="A16" t="s">
        <v>95</v>
      </c>
      <c r="B16" t="str">
        <f t="shared" si="0"/>
        <v>35</v>
      </c>
      <c r="C16" t="str">
        <f t="shared" si="1"/>
        <v>ок</v>
      </c>
      <c r="D16" t="str">
        <f>IF(
    ISNUMBER(SEARCH("FR", Таблица2__2[[#This Row],[Марка кабеля]])),
    "FR",
    ""
)</f>
        <v>FR</v>
      </c>
      <c r="E16" t="s">
        <v>20</v>
      </c>
      <c r="F16" t="str">
        <f t="shared" si="2"/>
        <v>Натуральный</v>
      </c>
      <c r="G16" t="s">
        <v>137</v>
      </c>
      <c r="H16" t="s">
        <v>138</v>
      </c>
      <c r="I16" t="s">
        <v>139</v>
      </c>
      <c r="J16" t="s">
        <v>140</v>
      </c>
      <c r="K16" s="12" t="s">
        <v>25</v>
      </c>
      <c r="Q16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16">
        <f t="shared" si="3"/>
        <v>5</v>
      </c>
      <c r="S16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7" spans="1:19" x14ac:dyDescent="0.35">
      <c r="A17" t="s">
        <v>96</v>
      </c>
      <c r="B17" t="str">
        <f t="shared" si="0"/>
        <v>4</v>
      </c>
      <c r="C17" t="str">
        <f t="shared" si="1"/>
        <v>ок</v>
      </c>
      <c r="D17" t="str">
        <f>IF(
    ISNUMBER(SEARCH("FR", Таблица2__2[[#This Row],[Марка кабеля]])),
    "FR",
    ""
)</f>
        <v/>
      </c>
      <c r="E17" t="s">
        <v>20</v>
      </c>
      <c r="F17" t="str">
        <f t="shared" si="2"/>
        <v>Натуральный</v>
      </c>
      <c r="G17" t="s">
        <v>137</v>
      </c>
      <c r="H17" t="s">
        <v>138</v>
      </c>
      <c r="I17" t="s">
        <v>139</v>
      </c>
      <c r="J17" t="s">
        <v>140</v>
      </c>
      <c r="K17" s="12" t="s">
        <v>25</v>
      </c>
      <c r="Q17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4ок</v>
      </c>
      <c r="R17">
        <f t="shared" si="3"/>
        <v>3</v>
      </c>
      <c r="S17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8" spans="1:19" x14ac:dyDescent="0.35">
      <c r="A18" t="s">
        <v>97</v>
      </c>
      <c r="B18" t="str">
        <f t="shared" si="0"/>
        <v>6</v>
      </c>
      <c r="C18" t="str">
        <f t="shared" si="1"/>
        <v>ок</v>
      </c>
      <c r="D18" t="str">
        <f>IF(
    ISNUMBER(SEARCH("FR", Таблица2__2[[#This Row],[Марка кабеля]])),
    "FR",
    ""
)</f>
        <v/>
      </c>
      <c r="E18" t="s">
        <v>20</v>
      </c>
      <c r="F18" t="str">
        <f t="shared" si="2"/>
        <v>Натуральный</v>
      </c>
      <c r="G18" t="s">
        <v>137</v>
      </c>
      <c r="H18" t="s">
        <v>138</v>
      </c>
      <c r="I18" t="s">
        <v>139</v>
      </c>
      <c r="J18" t="s">
        <v>140</v>
      </c>
      <c r="K18" s="12" t="s">
        <v>25</v>
      </c>
      <c r="Q18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6ок</v>
      </c>
      <c r="R18">
        <f t="shared" si="3"/>
        <v>3</v>
      </c>
      <c r="S18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19" spans="1:19" x14ac:dyDescent="0.35">
      <c r="A19" t="s">
        <v>98</v>
      </c>
      <c r="B19" t="str">
        <f t="shared" si="0"/>
        <v>10</v>
      </c>
      <c r="C19" t="str">
        <f t="shared" si="1"/>
        <v>мк</v>
      </c>
      <c r="D19" t="str">
        <f>IF(
    ISNUMBER(SEARCH("FR", Таблица2__2[[#This Row],[Марка кабеля]])),
    "FR",
    ""
)</f>
        <v/>
      </c>
      <c r="E19" t="s">
        <v>20</v>
      </c>
      <c r="F19" t="str">
        <f t="shared" si="2"/>
        <v>Натуральный</v>
      </c>
      <c r="G19" t="s">
        <v>137</v>
      </c>
      <c r="H19" t="s">
        <v>138</v>
      </c>
      <c r="I19" t="s">
        <v>139</v>
      </c>
      <c r="J19" t="s">
        <v>140</v>
      </c>
      <c r="K19" s="12" t="s">
        <v>25</v>
      </c>
      <c r="Q19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10ок</v>
      </c>
      <c r="R19">
        <f t="shared" si="3"/>
        <v>5</v>
      </c>
      <c r="S19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20" spans="1:19" x14ac:dyDescent="0.35">
      <c r="A20" t="s">
        <v>99</v>
      </c>
      <c r="B20" t="str">
        <f t="shared" si="0"/>
        <v>16</v>
      </c>
      <c r="C20" t="str">
        <f t="shared" si="1"/>
        <v>ок</v>
      </c>
      <c r="D20" t="str">
        <f>IF(
    ISNUMBER(SEARCH("FR", Таблица2__2[[#This Row],[Марка кабеля]])),
    "FR",
    ""
)</f>
        <v/>
      </c>
      <c r="E20" t="s">
        <v>20</v>
      </c>
      <c r="F20" t="str">
        <f t="shared" si="2"/>
        <v>Натуральный</v>
      </c>
      <c r="G20" t="s">
        <v>137</v>
      </c>
      <c r="H20" t="s">
        <v>138</v>
      </c>
      <c r="I20" t="s">
        <v>139</v>
      </c>
      <c r="J20" t="s">
        <v>140</v>
      </c>
      <c r="K20" s="12" t="s">
        <v>25</v>
      </c>
      <c r="Q20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20">
        <f t="shared" si="3"/>
        <v>5</v>
      </c>
      <c r="S20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21" spans="1:19" x14ac:dyDescent="0.35">
      <c r="A21" t="s">
        <v>100</v>
      </c>
      <c r="B21" t="str">
        <f t="shared" si="0"/>
        <v>2,5</v>
      </c>
      <c r="C21" t="str">
        <f t="shared" si="1"/>
        <v>мк</v>
      </c>
      <c r="D21" t="str">
        <f>IF(
    ISNUMBER(SEARCH("FR", Таблица2__2[[#This Row],[Марка кабеля]])),
    "FR",
    ""
)</f>
        <v/>
      </c>
      <c r="E21" t="s">
        <v>20</v>
      </c>
      <c r="F21" t="str">
        <f t="shared" si="2"/>
        <v>Натуральный</v>
      </c>
      <c r="G21" t="s">
        <v>137</v>
      </c>
      <c r="H21" t="s">
        <v>138</v>
      </c>
      <c r="I21" t="s">
        <v>139</v>
      </c>
      <c r="J21" t="s">
        <v>140</v>
      </c>
      <c r="K21" s="12" t="s">
        <v>25</v>
      </c>
      <c r="Q21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21">
        <f t="shared" si="3"/>
        <v>5</v>
      </c>
      <c r="S21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22" spans="1:19" x14ac:dyDescent="0.35">
      <c r="A22" t="s">
        <v>101</v>
      </c>
      <c r="B22" t="str">
        <f t="shared" si="0"/>
        <v>35</v>
      </c>
      <c r="C22" t="str">
        <f t="shared" si="1"/>
        <v>ок-к</v>
      </c>
      <c r="D22" t="str">
        <f>IF(
    ISNUMBER(SEARCH("FR", Таблица2__2[[#This Row],[Марка кабеля]])),
    "FR",
    ""
)</f>
        <v/>
      </c>
      <c r="E22" t="s">
        <v>20</v>
      </c>
      <c r="F22" t="str">
        <f t="shared" si="2"/>
        <v>Натуральный</v>
      </c>
      <c r="G22" t="s">
        <v>137</v>
      </c>
      <c r="H22" t="s">
        <v>138</v>
      </c>
      <c r="I22" t="s">
        <v>139</v>
      </c>
      <c r="J22" t="s">
        <v>140</v>
      </c>
      <c r="K22" s="12" t="s">
        <v>25</v>
      </c>
      <c r="Q22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22">
        <f t="shared" si="3"/>
        <v>5</v>
      </c>
      <c r="S22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23" spans="1:19" x14ac:dyDescent="0.35">
      <c r="A23" t="s">
        <v>102</v>
      </c>
      <c r="B23" t="str">
        <f t="shared" si="0"/>
        <v>1,5</v>
      </c>
      <c r="C23" t="str">
        <f t="shared" si="1"/>
        <v>ок-к</v>
      </c>
      <c r="D23" t="str">
        <f>IF(
    ISNUMBER(SEARCH("FR", Таблица2__2[[#This Row],[Марка кабеля]])),
    "FR",
    ""
)</f>
        <v/>
      </c>
      <c r="E23" t="s">
        <v>20</v>
      </c>
      <c r="F23" t="s">
        <v>141</v>
      </c>
      <c r="K23" s="12" t="s">
        <v>25</v>
      </c>
      <c r="Q2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23">
        <f t="shared" si="3"/>
        <v>4</v>
      </c>
      <c r="S23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24" spans="1:19" x14ac:dyDescent="0.35">
      <c r="A24" t="s">
        <v>103</v>
      </c>
      <c r="B24" t="str">
        <f t="shared" si="0"/>
        <v>1,5</v>
      </c>
      <c r="C24" t="str">
        <f t="shared" si="1"/>
        <v>ок-к</v>
      </c>
      <c r="D24" t="str">
        <f>IF(
    ISNUMBER(SEARCH("FR", Таблица2__2[[#This Row],[Марка кабеля]])),
    "FR",
    ""
)</f>
        <v/>
      </c>
      <c r="E24" t="s">
        <v>20</v>
      </c>
      <c r="F24" t="s">
        <v>141</v>
      </c>
      <c r="K24" s="12" t="s">
        <v>25</v>
      </c>
      <c r="Q24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24">
        <f t="shared" si="3"/>
        <v>4</v>
      </c>
      <c r="S24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25" spans="1:19" x14ac:dyDescent="0.35">
      <c r="A25" t="s">
        <v>104</v>
      </c>
      <c r="B25" t="str">
        <f t="shared" si="0"/>
        <v>1,5</v>
      </c>
      <c r="C25" t="str">
        <f t="shared" si="1"/>
        <v>ок-к</v>
      </c>
      <c r="D25" t="str">
        <f>IF(
    ISNUMBER(SEARCH("FR", Таблица2__2[[#This Row],[Марка кабеля]])),
    "FR",
    ""
)</f>
        <v/>
      </c>
      <c r="E25" t="s">
        <v>20</v>
      </c>
      <c r="F25" t="str">
        <f t="shared" si="2"/>
        <v>Натуральный</v>
      </c>
      <c r="G25" t="s">
        <v>137</v>
      </c>
      <c r="H25" t="s">
        <v>138</v>
      </c>
      <c r="I25" t="s">
        <v>139</v>
      </c>
      <c r="J25" t="s">
        <v>140</v>
      </c>
      <c r="K25" s="12" t="s">
        <v>25</v>
      </c>
      <c r="Q25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25">
        <f t="shared" si="3"/>
        <v>7</v>
      </c>
      <c r="S25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26" spans="1:19" x14ac:dyDescent="0.35">
      <c r="A26" t="s">
        <v>105</v>
      </c>
      <c r="B26" t="str">
        <f t="shared" si="0"/>
        <v>2,5</v>
      </c>
      <c r="C26" t="str">
        <f t="shared" si="1"/>
        <v>ок</v>
      </c>
      <c r="D26" t="str">
        <f>IF(
    ISNUMBER(SEARCH("FR", Таблица2__2[[#This Row],[Марка кабеля]])),
    "FR",
    ""
)</f>
        <v/>
      </c>
      <c r="E26" t="s">
        <v>20</v>
      </c>
      <c r="F26" t="str">
        <f t="shared" si="2"/>
        <v>Натуральный</v>
      </c>
      <c r="G26" t="s">
        <v>137</v>
      </c>
      <c r="H26" t="s">
        <v>138</v>
      </c>
      <c r="I26" t="s">
        <v>139</v>
      </c>
      <c r="J26" t="s">
        <v>140</v>
      </c>
      <c r="K26" s="12" t="s">
        <v>25</v>
      </c>
      <c r="Q26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</v>
      </c>
      <c r="R26">
        <f t="shared" si="3"/>
        <v>7</v>
      </c>
      <c r="S26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27" spans="1:19" x14ac:dyDescent="0.35">
      <c r="A27" t="s">
        <v>106</v>
      </c>
      <c r="B27" t="str">
        <f t="shared" si="0"/>
        <v>4</v>
      </c>
      <c r="C27" t="str">
        <f t="shared" si="1"/>
        <v>ок</v>
      </c>
      <c r="D27" t="str">
        <f>IF(
    ISNUMBER(SEARCH("FR", Таблица2__2[[#This Row],[Марка кабеля]])),
    "FR",
    ""
)</f>
        <v/>
      </c>
      <c r="E27" t="s">
        <v>136</v>
      </c>
      <c r="F27" t="str">
        <f t="shared" si="2"/>
        <v>Натуральный</v>
      </c>
      <c r="H27" t="s">
        <v>138</v>
      </c>
      <c r="K27" s="12" t="s">
        <v>25</v>
      </c>
      <c r="Q27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4ок</v>
      </c>
      <c r="R27">
        <f t="shared" si="3"/>
        <v>2</v>
      </c>
      <c r="S27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28" spans="1:19" x14ac:dyDescent="0.35">
      <c r="A28" t="s">
        <v>107</v>
      </c>
      <c r="B28" t="str">
        <f t="shared" si="0"/>
        <v>2,5</v>
      </c>
      <c r="C28" t="str">
        <f t="shared" si="1"/>
        <v>мк</v>
      </c>
      <c r="D28" t="str">
        <f>IF(
    ISNUMBER(SEARCH("FR", Таблица2__2[[#This Row],[Марка кабеля]])),
    "FR",
    ""
)</f>
        <v/>
      </c>
      <c r="E28" t="s">
        <v>136</v>
      </c>
      <c r="F28" t="str">
        <f t="shared" ref="F28:F41" si="5">IF( R28 &gt;= 1, "Натуральный", "-" )</f>
        <v>Натуральный</v>
      </c>
      <c r="H28" t="s">
        <v>138</v>
      </c>
      <c r="I28" t="s">
        <v>139</v>
      </c>
      <c r="J28" t="s">
        <v>140</v>
      </c>
      <c r="K28" s="12" t="s">
        <v>25</v>
      </c>
      <c r="Q28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28">
        <f t="shared" si="3"/>
        <v>4</v>
      </c>
      <c r="S28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29" spans="1:19" x14ac:dyDescent="0.35">
      <c r="A29" t="s">
        <v>108</v>
      </c>
      <c r="B29" t="str">
        <f t="shared" si="0"/>
        <v>16</v>
      </c>
      <c r="C29" t="str">
        <f t="shared" si="1"/>
        <v>мк</v>
      </c>
      <c r="D29" t="str">
        <f>IF(
    ISNUMBER(SEARCH("FR", Таблица2__2[[#This Row],[Марка кабеля]])),
    "FR",
    ""
)</f>
        <v/>
      </c>
      <c r="E29" t="s">
        <v>136</v>
      </c>
      <c r="F29" t="str">
        <f t="shared" si="5"/>
        <v>Натуральный</v>
      </c>
      <c r="H29" t="s">
        <v>138</v>
      </c>
      <c r="I29" t="s">
        <v>139</v>
      </c>
      <c r="J29" t="s">
        <v>140</v>
      </c>
      <c r="K29" s="12" t="s">
        <v>25</v>
      </c>
      <c r="Q29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29">
        <f t="shared" si="3"/>
        <v>3</v>
      </c>
      <c r="S29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30" spans="1:19" x14ac:dyDescent="0.35">
      <c r="A30" t="s">
        <v>109</v>
      </c>
      <c r="B30" t="str">
        <f t="shared" si="0"/>
        <v>35</v>
      </c>
      <c r="C30" t="str">
        <f t="shared" si="1"/>
        <v>ок</v>
      </c>
      <c r="D30" t="str">
        <f>IF(
    ISNUMBER(SEARCH("FR", Таблица2__2[[#This Row],[Марка кабеля]])),
    "FR",
    ""
)</f>
        <v/>
      </c>
      <c r="E30" t="s">
        <v>136</v>
      </c>
      <c r="F30" t="str">
        <f t="shared" si="5"/>
        <v>Натуральный</v>
      </c>
      <c r="H30" t="s">
        <v>138</v>
      </c>
      <c r="I30" t="s">
        <v>139</v>
      </c>
      <c r="J30" t="s">
        <v>140</v>
      </c>
      <c r="K30" s="12" t="s">
        <v>25</v>
      </c>
      <c r="Q30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30">
        <f t="shared" si="3"/>
        <v>3</v>
      </c>
      <c r="S30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31" spans="1:19" x14ac:dyDescent="0.35">
      <c r="A31" t="s">
        <v>110</v>
      </c>
      <c r="B31" t="str">
        <f t="shared" si="0"/>
        <v>6</v>
      </c>
      <c r="C31" t="str">
        <f t="shared" si="1"/>
        <v>ок</v>
      </c>
      <c r="D31" t="str">
        <f>IF(
    ISNUMBER(SEARCH("FR", Таблица2__2[[#This Row],[Марка кабеля]])),
    "FR",
    ""
)</f>
        <v/>
      </c>
      <c r="E31" t="s">
        <v>136</v>
      </c>
      <c r="F31" t="str">
        <f t="shared" si="5"/>
        <v>Натуральный</v>
      </c>
      <c r="H31" t="s">
        <v>138</v>
      </c>
      <c r="I31" t="s">
        <v>139</v>
      </c>
      <c r="J31" t="s">
        <v>140</v>
      </c>
      <c r="K31" s="12" t="s">
        <v>25</v>
      </c>
      <c r="Q31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6ок</v>
      </c>
      <c r="R31">
        <f t="shared" si="3"/>
        <v>3</v>
      </c>
      <c r="S31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32" spans="1:19" x14ac:dyDescent="0.35">
      <c r="A32" t="s">
        <v>111</v>
      </c>
      <c r="B32" t="str">
        <f t="shared" si="0"/>
        <v>2,5</v>
      </c>
      <c r="C32" t="str">
        <f t="shared" si="1"/>
        <v>мк</v>
      </c>
      <c r="D32" t="str">
        <f>IF(
    ISNUMBER(SEARCH("FR", Таблица2__2[[#This Row],[Марка кабеля]])),
    "FR",
    ""
)</f>
        <v/>
      </c>
      <c r="E32" t="s">
        <v>20</v>
      </c>
      <c r="F32" t="str">
        <f t="shared" si="5"/>
        <v>Натуральный</v>
      </c>
      <c r="H32" t="s">
        <v>138</v>
      </c>
      <c r="I32" t="s">
        <v>139</v>
      </c>
      <c r="J32" t="s">
        <v>140</v>
      </c>
      <c r="K32" s="12" t="s">
        <v>25</v>
      </c>
      <c r="Q32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32">
        <f t="shared" si="3"/>
        <v>3</v>
      </c>
      <c r="S32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3" spans="1:19" x14ac:dyDescent="0.35">
      <c r="A33" t="s">
        <v>112</v>
      </c>
      <c r="B33" t="str">
        <f t="shared" si="0"/>
        <v>25</v>
      </c>
      <c r="C33" t="str">
        <f t="shared" si="1"/>
        <v>ок</v>
      </c>
      <c r="D33" t="str">
        <f>IF(
    ISNUMBER(SEARCH("FR", Таблица2__2[[#This Row],[Марка кабеля]])),
    "FR",
    ""
)</f>
        <v/>
      </c>
      <c r="E33" t="s">
        <v>20</v>
      </c>
      <c r="F33" t="str">
        <f t="shared" si="5"/>
        <v>Натуральный</v>
      </c>
      <c r="H33" t="s">
        <v>138</v>
      </c>
      <c r="I33" t="s">
        <v>139</v>
      </c>
      <c r="J33" t="s">
        <v>140</v>
      </c>
      <c r="K33" s="12" t="s">
        <v>25</v>
      </c>
      <c r="Q3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33">
        <f t="shared" si="3"/>
        <v>3</v>
      </c>
      <c r="S33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4" spans="1:19" x14ac:dyDescent="0.35">
      <c r="A34" t="s">
        <v>113</v>
      </c>
      <c r="B34" t="str">
        <f t="shared" si="0"/>
        <v>6</v>
      </c>
      <c r="C34" t="str">
        <f t="shared" si="1"/>
        <v>ок</v>
      </c>
      <c r="D34" t="str">
        <f>IF(
    ISNUMBER(SEARCH("FR", Таблица2__2[[#This Row],[Марка кабеля]])),
    "FR",
    ""
)</f>
        <v/>
      </c>
      <c r="E34" t="s">
        <v>20</v>
      </c>
      <c r="F34" t="str">
        <f t="shared" si="5"/>
        <v>Натуральный</v>
      </c>
      <c r="H34" t="s">
        <v>138</v>
      </c>
      <c r="I34" t="s">
        <v>139</v>
      </c>
      <c r="J34" t="s">
        <v>140</v>
      </c>
      <c r="K34" s="12" t="s">
        <v>25</v>
      </c>
      <c r="Q34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6ок</v>
      </c>
      <c r="R34">
        <f t="shared" si="3"/>
        <v>3</v>
      </c>
      <c r="S34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5" spans="1:19" x14ac:dyDescent="0.35">
      <c r="A35" t="s">
        <v>114</v>
      </c>
      <c r="B35" t="str">
        <f t="shared" si="0"/>
        <v>6</v>
      </c>
      <c r="C35" t="str">
        <f t="shared" si="1"/>
        <v>мк</v>
      </c>
      <c r="D35" t="str">
        <f>IF(
    ISNUMBER(SEARCH("FR", Таблица2__2[[#This Row],[Марка кабеля]])),
    "FR",
    ""
)</f>
        <v/>
      </c>
      <c r="E35" t="s">
        <v>20</v>
      </c>
      <c r="F35" t="str">
        <f t="shared" si="5"/>
        <v>Натуральный</v>
      </c>
      <c r="H35" t="s">
        <v>138</v>
      </c>
      <c r="I35" t="s">
        <v>139</v>
      </c>
      <c r="J35" t="s">
        <v>140</v>
      </c>
      <c r="K35" s="12" t="s">
        <v>25</v>
      </c>
      <c r="Q35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6ок</v>
      </c>
      <c r="R35">
        <f t="shared" si="3"/>
        <v>4</v>
      </c>
      <c r="S35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36" spans="1:19" x14ac:dyDescent="0.35">
      <c r="A36" t="s">
        <v>115</v>
      </c>
      <c r="B36" t="str">
        <f t="shared" si="0"/>
        <v>16</v>
      </c>
      <c r="C36" t="str">
        <f t="shared" si="1"/>
        <v>ок</v>
      </c>
      <c r="D36" t="str">
        <f>IF(
    ISNUMBER(SEARCH("FR", Таблица2__2[[#This Row],[Марка кабеля]])),
    "FR",
    ""
)</f>
        <v/>
      </c>
      <c r="E36" t="s">
        <v>20</v>
      </c>
      <c r="F36" t="str">
        <f t="shared" si="5"/>
        <v>Натуральный</v>
      </c>
      <c r="G36" t="s">
        <v>137</v>
      </c>
      <c r="H36" t="s">
        <v>138</v>
      </c>
      <c r="I36" t="s">
        <v>139</v>
      </c>
      <c r="J36" t="s">
        <v>140</v>
      </c>
      <c r="K36" s="12" t="s">
        <v>25</v>
      </c>
      <c r="Q36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36">
        <f t="shared" si="3"/>
        <v>5</v>
      </c>
      <c r="S36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7" spans="1:19" x14ac:dyDescent="0.35">
      <c r="A37" t="s">
        <v>116</v>
      </c>
      <c r="B37" t="str">
        <f t="shared" si="0"/>
        <v>2,5</v>
      </c>
      <c r="C37" t="str">
        <f t="shared" si="1"/>
        <v>мк</v>
      </c>
      <c r="D37" t="str">
        <f>IF(
    ISNUMBER(SEARCH("FR", Таблица2__2[[#This Row],[Марка кабеля]])),
    "FR",
    ""
)</f>
        <v/>
      </c>
      <c r="E37" t="s">
        <v>20</v>
      </c>
      <c r="F37" t="str">
        <f t="shared" si="5"/>
        <v>Натуральный</v>
      </c>
      <c r="G37" t="s">
        <v>137</v>
      </c>
      <c r="H37" t="s">
        <v>138</v>
      </c>
      <c r="I37" t="s">
        <v>139</v>
      </c>
      <c r="J37" t="s">
        <v>140</v>
      </c>
      <c r="K37" s="12" t="s">
        <v>25</v>
      </c>
      <c r="Q37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37">
        <f t="shared" si="3"/>
        <v>5</v>
      </c>
      <c r="S37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8" spans="1:19" x14ac:dyDescent="0.35">
      <c r="A38" t="s">
        <v>117</v>
      </c>
      <c r="B38" t="str">
        <f t="shared" si="0"/>
        <v>25</v>
      </c>
      <c r="C38" t="str">
        <f t="shared" si="1"/>
        <v>ок</v>
      </c>
      <c r="D38" t="str">
        <f>IF(
    ISNUMBER(SEARCH("FR", Таблица2__2[[#This Row],[Марка кабеля]])),
    "FR",
    ""
)</f>
        <v/>
      </c>
      <c r="E38" t="s">
        <v>20</v>
      </c>
      <c r="F38" t="str">
        <f t="shared" si="5"/>
        <v>Натуральный</v>
      </c>
      <c r="G38" t="s">
        <v>137</v>
      </c>
      <c r="H38" t="s">
        <v>138</v>
      </c>
      <c r="I38" t="s">
        <v>139</v>
      </c>
      <c r="J38" t="s">
        <v>140</v>
      </c>
      <c r="K38" s="12" t="s">
        <v>25</v>
      </c>
      <c r="Q38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25мк</v>
      </c>
      <c r="R38">
        <f t="shared" si="3"/>
        <v>5</v>
      </c>
      <c r="S38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39" spans="1:19" x14ac:dyDescent="0.35">
      <c r="A39" t="s">
        <v>118</v>
      </c>
      <c r="B39" t="str">
        <f t="shared" si="0"/>
        <v>10</v>
      </c>
      <c r="C39" t="str">
        <f t="shared" si="1"/>
        <v>ок</v>
      </c>
      <c r="D39" t="str">
        <f>IF(
    ISNUMBER(SEARCH("FR", Таблица2__2[[#This Row],[Марка кабеля]])),
    "FR",
    ""
)</f>
        <v/>
      </c>
      <c r="E39" t="s">
        <v>20</v>
      </c>
      <c r="F39" t="str">
        <f t="shared" si="5"/>
        <v>Натуральный</v>
      </c>
      <c r="H39" t="s">
        <v>138</v>
      </c>
      <c r="I39" t="s">
        <v>139</v>
      </c>
      <c r="J39" t="s">
        <v>140</v>
      </c>
      <c r="K39" s="12" t="s">
        <v>25</v>
      </c>
      <c r="Q39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10ок</v>
      </c>
      <c r="R39">
        <f t="shared" si="3"/>
        <v>3</v>
      </c>
      <c r="S39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0" spans="1:19" x14ac:dyDescent="0.35">
      <c r="A40" t="s">
        <v>119</v>
      </c>
      <c r="B40" t="str">
        <f t="shared" si="0"/>
        <v>2,5</v>
      </c>
      <c r="C40" t="str">
        <f t="shared" si="1"/>
        <v>ок</v>
      </c>
      <c r="D40" t="str">
        <f>IF(
    ISNUMBER(SEARCH("FR", Таблица2__2[[#This Row],[Марка кабеля]])),
    "FR",
    ""
)</f>
        <v/>
      </c>
      <c r="E40" t="s">
        <v>20</v>
      </c>
      <c r="F40" t="str">
        <f t="shared" si="5"/>
        <v>Натуральный</v>
      </c>
      <c r="H40" t="s">
        <v>138</v>
      </c>
      <c r="I40" t="s">
        <v>139</v>
      </c>
      <c r="J40" t="s">
        <v>140</v>
      </c>
      <c r="K40" s="12" t="s">
        <v>25</v>
      </c>
      <c r="Q40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40">
        <f t="shared" si="3"/>
        <v>3</v>
      </c>
      <c r="S40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1" spans="1:19" x14ac:dyDescent="0.35">
      <c r="A41" t="s">
        <v>120</v>
      </c>
      <c r="B41" t="str">
        <f t="shared" si="0"/>
        <v>2,5</v>
      </c>
      <c r="C41" t="str">
        <f t="shared" si="1"/>
        <v>ок-к</v>
      </c>
      <c r="D41" t="str">
        <f>IF(
    ISNUMBER(SEARCH("FR", Таблица2__2[[#This Row],[Марка кабеля]])),
    "FR",
    ""
)</f>
        <v/>
      </c>
      <c r="E41" t="s">
        <v>20</v>
      </c>
      <c r="F41" t="str">
        <f t="shared" si="5"/>
        <v>Натуральный</v>
      </c>
      <c r="H41" t="s">
        <v>138</v>
      </c>
      <c r="I41" t="s">
        <v>139</v>
      </c>
      <c r="J41" t="s">
        <v>140</v>
      </c>
      <c r="K41" s="12" t="s">
        <v>25</v>
      </c>
      <c r="Q41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2,5ок</v>
      </c>
      <c r="R41">
        <f t="shared" si="3"/>
        <v>4</v>
      </c>
      <c r="S41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42" spans="1:19" x14ac:dyDescent="0.35">
      <c r="A42" t="s">
        <v>121</v>
      </c>
      <c r="B42" t="str">
        <f t="shared" si="0"/>
        <v>2,5</v>
      </c>
      <c r="C42" t="str">
        <f t="shared" si="1"/>
        <v>ок-к</v>
      </c>
      <c r="D42" t="str">
        <f>IF(
    ISNUMBER(SEARCH("FR", Таблица2__2[[#This Row],[Марка кабеля]])),
    "FR",
    ""
)</f>
        <v/>
      </c>
      <c r="E42" t="s">
        <v>20</v>
      </c>
      <c r="F42" t="str">
        <f t="shared" si="2"/>
        <v>Натуральный</v>
      </c>
      <c r="G42" t="s">
        <v>137</v>
      </c>
      <c r="H42" t="s">
        <v>138</v>
      </c>
      <c r="K42" s="12" t="s">
        <v>25</v>
      </c>
      <c r="Q42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</v>
      </c>
      <c r="R42">
        <f t="shared" si="3"/>
        <v>37</v>
      </c>
      <c r="S42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3" spans="1:19" x14ac:dyDescent="0.35">
      <c r="A43" t="s">
        <v>122</v>
      </c>
      <c r="B43" t="str">
        <f t="shared" si="0"/>
        <v>1,5</v>
      </c>
      <c r="C43" t="str">
        <f t="shared" si="1"/>
        <v>ок-к</v>
      </c>
      <c r="D43" t="str">
        <f>IF(
    ISNUMBER(SEARCH("FR", Таблица2__2[[#This Row],[Марка кабеля]])),
    "FR",
    ""
)</f>
        <v/>
      </c>
      <c r="E43" t="s">
        <v>20</v>
      </c>
      <c r="F43" t="s">
        <v>141</v>
      </c>
      <c r="K43" s="12" t="s">
        <v>25</v>
      </c>
      <c r="Q4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43">
        <f t="shared" si="3"/>
        <v>4</v>
      </c>
      <c r="S43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4" spans="1:19" x14ac:dyDescent="0.35">
      <c r="A44" t="s">
        <v>123</v>
      </c>
      <c r="B44" t="str">
        <f t="shared" si="0"/>
        <v>1,5</v>
      </c>
      <c r="C44" t="str">
        <f t="shared" si="1"/>
        <v>ок-к</v>
      </c>
      <c r="D44" t="str">
        <f>IF(
    ISNUMBER(SEARCH("FR", Таблица2__2[[#This Row],[Марка кабеля]])),
    "FR",
    ""
)</f>
        <v/>
      </c>
      <c r="E44" t="s">
        <v>20</v>
      </c>
      <c r="F44" t="s">
        <v>141</v>
      </c>
      <c r="K44" s="12" t="s">
        <v>25</v>
      </c>
      <c r="Q44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44">
        <f t="shared" si="3"/>
        <v>4</v>
      </c>
      <c r="S44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5" spans="1:19" x14ac:dyDescent="0.35">
      <c r="A45" t="s">
        <v>124</v>
      </c>
      <c r="B45" t="str">
        <f t="shared" si="0"/>
        <v>1,5</v>
      </c>
      <c r="C45" t="str">
        <f t="shared" si="1"/>
        <v>ок-к</v>
      </c>
      <c r="D45" t="str">
        <f>IF(
    ISNUMBER(SEARCH("FR", Таблица2__2[[#This Row],[Марка кабеля]])),
    "FR",
    ""
)</f>
        <v/>
      </c>
      <c r="E45" t="s">
        <v>20</v>
      </c>
      <c r="F45" t="s">
        <v>141</v>
      </c>
      <c r="K45" s="12" t="s">
        <v>25</v>
      </c>
      <c r="Q45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45">
        <f t="shared" si="3"/>
        <v>5</v>
      </c>
      <c r="S45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6" spans="1:19" x14ac:dyDescent="0.35">
      <c r="A46" t="s">
        <v>125</v>
      </c>
      <c r="B46" t="str">
        <f t="shared" si="0"/>
        <v>1,5</v>
      </c>
      <c r="C46" t="str">
        <f t="shared" si="1"/>
        <v>ок-к</v>
      </c>
      <c r="D46" t="str">
        <f>IF(
    ISNUMBER(SEARCH("FR", Таблица2__2[[#This Row],[Марка кабеля]])),
    "FR",
    ""
)</f>
        <v/>
      </c>
      <c r="E46" t="s">
        <v>20</v>
      </c>
      <c r="F46" t="s">
        <v>141</v>
      </c>
      <c r="K46" s="12" t="s">
        <v>25</v>
      </c>
      <c r="Q46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46">
        <f t="shared" si="3"/>
        <v>5</v>
      </c>
      <c r="S46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7" spans="1:19" x14ac:dyDescent="0.35">
      <c r="A47" t="s">
        <v>126</v>
      </c>
      <c r="B47" t="str">
        <f t="shared" si="0"/>
        <v>2,5</v>
      </c>
      <c r="C47" t="str">
        <f t="shared" si="1"/>
        <v>ок-к</v>
      </c>
      <c r="D47" t="str">
        <f>IF(
    ISNUMBER(SEARCH("FR", Таблица2__2[[#This Row],[Марка кабеля]])),
    "FR",
    ""
)</f>
        <v/>
      </c>
      <c r="E47" t="s">
        <v>136</v>
      </c>
      <c r="F47" t="s">
        <v>141</v>
      </c>
      <c r="K47" s="12" t="s">
        <v>25</v>
      </c>
      <c r="Q47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2,5</v>
      </c>
      <c r="R47">
        <f t="shared" si="3"/>
        <v>4</v>
      </c>
      <c r="S47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8" spans="1:19" x14ac:dyDescent="0.35">
      <c r="A48" t="s">
        <v>127</v>
      </c>
      <c r="B48" t="str">
        <f t="shared" si="0"/>
        <v>4</v>
      </c>
      <c r="C48" t="str">
        <f t="shared" si="1"/>
        <v>ок-к</v>
      </c>
      <c r="D48" t="str">
        <f>IF(
    ISNUMBER(SEARCH("FR", Таблица2__2[[#This Row],[Марка кабеля]])),
    "FR",
    ""
)</f>
        <v/>
      </c>
      <c r="E48" t="s">
        <v>136</v>
      </c>
      <c r="F48" t="s">
        <v>141</v>
      </c>
      <c r="K48" s="12" t="s">
        <v>25</v>
      </c>
      <c r="Q48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4</v>
      </c>
      <c r="R48">
        <f t="shared" si="3"/>
        <v>4</v>
      </c>
      <c r="S48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49" spans="1:19" x14ac:dyDescent="0.35">
      <c r="A49" t="s">
        <v>128</v>
      </c>
      <c r="B49" t="str">
        <f t="shared" si="0"/>
        <v>6</v>
      </c>
      <c r="C49" t="str">
        <f t="shared" si="1"/>
        <v>ок-к</v>
      </c>
      <c r="D49" t="str">
        <f>IF(
    ISNUMBER(SEARCH("FR", Таблица2__2[[#This Row],[Марка кабеля]])),
    "FR",
    ""
)</f>
        <v/>
      </c>
      <c r="E49" t="s">
        <v>136</v>
      </c>
      <c r="F49" t="s">
        <v>141</v>
      </c>
      <c r="K49" s="12" t="s">
        <v>25</v>
      </c>
      <c r="Q49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</v>
      </c>
      <c r="R49">
        <f t="shared" si="3"/>
        <v>5</v>
      </c>
      <c r="S49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50" spans="1:19" x14ac:dyDescent="0.35">
      <c r="A50" t="s">
        <v>129</v>
      </c>
      <c r="B50" t="str">
        <f t="shared" si="0"/>
        <v>1,5</v>
      </c>
      <c r="C50" t="str">
        <f t="shared" si="1"/>
        <v>мк</v>
      </c>
      <c r="D50" t="str">
        <f>IF(
    ISNUMBER(SEARCH("FR", Таблица2__2[[#This Row],[Марка кабеля]])),
    "FR",
    ""
)</f>
        <v/>
      </c>
      <c r="E50" t="s">
        <v>136</v>
      </c>
      <c r="F50" t="str">
        <f t="shared" si="2"/>
        <v>Натуральный</v>
      </c>
      <c r="G50" t="s">
        <v>137</v>
      </c>
      <c r="H50" t="s">
        <v>138</v>
      </c>
      <c r="K50" s="12" t="s">
        <v>25</v>
      </c>
      <c r="Q50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1,5</v>
      </c>
      <c r="R50">
        <f t="shared" si="3"/>
        <v>7</v>
      </c>
      <c r="S50" t="str">
        <f>IF(
    ISNUMBER(SEARCH("N,PE", Таблица2__2[[#This Row],[Марка кабеля]])),
    "NPE",
    IF(
        ISNUMBER(SEARCH("N)", Таблица2__2[[#This Row],[Марка кабеля]])),
        "N",
        "нет"
    )
)</f>
        <v>нет</v>
      </c>
    </row>
    <row r="51" spans="1:19" x14ac:dyDescent="0.35">
      <c r="A51" t="s">
        <v>130</v>
      </c>
      <c r="B51" t="str">
        <f t="shared" si="0"/>
        <v>35</v>
      </c>
      <c r="C51" t="str">
        <f t="shared" si="1"/>
        <v>ок</v>
      </c>
      <c r="D51" t="str">
        <f>IF(
    ISNUMBER(SEARCH("FR", Таблица2__2[[#This Row],[Марка кабеля]])),
    "FR",
    ""
)</f>
        <v/>
      </c>
      <c r="E51" t="s">
        <v>136</v>
      </c>
      <c r="F51" t="str">
        <f t="shared" si="2"/>
        <v>Натуральный</v>
      </c>
      <c r="G51" t="s">
        <v>137</v>
      </c>
      <c r="H51" t="s">
        <v>138</v>
      </c>
      <c r="K51" s="12" t="s">
        <v>25</v>
      </c>
      <c r="Q51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35мк</v>
      </c>
      <c r="R51">
        <f t="shared" si="3"/>
        <v>3</v>
      </c>
      <c r="S51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52" spans="1:19" x14ac:dyDescent="0.35">
      <c r="A52" t="s">
        <v>131</v>
      </c>
      <c r="B52" t="str">
        <f t="shared" si="0"/>
        <v>6</v>
      </c>
      <c r="C52" t="str">
        <f t="shared" si="1"/>
        <v>мк</v>
      </c>
      <c r="D52" t="str">
        <f>IF(
    ISNUMBER(SEARCH("FR", Таблица2__2[[#This Row],[Марка кабеля]])),
    "FR",
    ""
)</f>
        <v/>
      </c>
      <c r="E52" t="s">
        <v>136</v>
      </c>
      <c r="F52" t="str">
        <f t="shared" si="2"/>
        <v>Натуральный</v>
      </c>
      <c r="G52" t="s">
        <v>137</v>
      </c>
      <c r="H52" t="s">
        <v>138</v>
      </c>
      <c r="K52" s="12" t="s">
        <v>25</v>
      </c>
      <c r="Q52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6ок</v>
      </c>
      <c r="R52">
        <f t="shared" si="3"/>
        <v>3</v>
      </c>
      <c r="S52" t="str">
        <f>IF(
    ISNUMBER(SEARCH("N,PE", Таблица2__2[[#This Row],[Марка кабеля]])),
    "NPE",
    IF(
        ISNUMBER(SEARCH("N)", Таблица2__2[[#This Row],[Марка кабеля]])),
        "N",
        "нет"
    )
)</f>
        <v>NPE</v>
      </c>
    </row>
    <row r="53" spans="1:19" x14ac:dyDescent="0.35">
      <c r="A53" t="s">
        <v>132</v>
      </c>
      <c r="B53" t="str">
        <f t="shared" si="0"/>
        <v>16</v>
      </c>
      <c r="C53" t="str">
        <f t="shared" si="1"/>
        <v>ок-к</v>
      </c>
      <c r="D53" t="str">
        <f>IF(
    ISNUMBER(SEARCH("FR", Таблица2__2[[#This Row],[Марка кабеля]])),
    "FR",
    ""
)</f>
        <v/>
      </c>
      <c r="E53" t="s">
        <v>136</v>
      </c>
      <c r="F53" t="str">
        <f t="shared" si="2"/>
        <v>Натуральный</v>
      </c>
      <c r="H53" t="s">
        <v>138</v>
      </c>
      <c r="I53" t="s">
        <v>139</v>
      </c>
      <c r="J53" t="s">
        <v>140</v>
      </c>
      <c r="K53" s="12" t="s">
        <v>25</v>
      </c>
      <c r="Q53" t="str">
        <f>IFERROR(
    MID(
        Таблица2__2[[#This Row],[Марка кабеля]],
        FIND("х", Таблица2__2[[#This Row],[Марка кабеля]]) + 1,
        MIN(
            IFERROR(FIND("(", Таблица2__2[[#This Row],[Марка кабеля]], FIND("х", Таблица2__2[[#This Row],[Марка кабеля]]) + 1), 9999),
            IFERROR(FIND("-", Таблица2__2[[#This Row],[Марка кабеля]], FIND("х", Таблица2__2[[#This Row],[Марка кабеля]]) + 1), 9999)
        ) - (FIND("х", Таблица2__2[[#This Row],[Марка кабеля]]) + 1)
    ),
    "Ошибка"
)</f>
        <v>16мк</v>
      </c>
      <c r="R53">
        <f t="shared" si="3"/>
        <v>4</v>
      </c>
      <c r="S53" t="str">
        <f>IF(
    ISNUMBER(SEARCH("N,PE", Таблица2__2[[#This Row],[Марка кабеля]])),
    "NPE",
    IF(
        ISNUMBER(SEARCH("N)", Таблица2__2[[#This Row],[Марка кабеля]])),
        "N",
        "нет"
    )
)</f>
        <v>N</v>
      </c>
    </row>
    <row r="54" spans="1:19" x14ac:dyDescent="0.35">
      <c r="A54" s="21" t="s">
        <v>142</v>
      </c>
      <c r="B54">
        <v>6</v>
      </c>
      <c r="C54" t="s">
        <v>18</v>
      </c>
      <c r="E54" t="s">
        <v>20</v>
      </c>
      <c r="F54" t="str">
        <f t="shared" ref="F54" si="6">IF( R54 &gt;= 1, "Натуральный", "-" )</f>
        <v>-</v>
      </c>
      <c r="H54" t="s">
        <v>138</v>
      </c>
      <c r="I54" t="s">
        <v>139</v>
      </c>
      <c r="J54" t="s">
        <v>140</v>
      </c>
      <c r="K54" s="12" t="s">
        <v>25</v>
      </c>
    </row>
  </sheetData>
  <mergeCells count="2">
    <mergeCell ref="K1:N1"/>
    <mergeCell ref="A1:J1"/>
  </mergeCells>
  <phoneticPr fontId="6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4.5" x14ac:dyDescent="0.35"/>
  <cols>
    <col min="1" max="1" width="5" customWidth="1"/>
    <col min="2" max="2" width="15" customWidth="1"/>
    <col min="3" max="3" width="14" customWidth="1"/>
    <col min="4" max="4" width="10" customWidth="1"/>
    <col min="5" max="5" width="14" customWidth="1"/>
    <col min="6" max="6" width="15" customWidth="1"/>
    <col min="7" max="7" width="26" customWidth="1"/>
    <col min="8" max="8" width="10" customWidth="1"/>
    <col min="9" max="9" width="20" customWidth="1"/>
  </cols>
  <sheetData>
    <row r="1" spans="1:13" ht="18" customHeight="1" x14ac:dyDescent="0.35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9" t="s">
        <v>28</v>
      </c>
      <c r="K1" s="18"/>
      <c r="L1" s="18"/>
      <c r="M1" s="18"/>
    </row>
    <row r="2" spans="1:13" ht="36" customHeight="1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9</v>
      </c>
      <c r="F2" s="1" t="s">
        <v>33</v>
      </c>
      <c r="G2" s="1" t="s">
        <v>34</v>
      </c>
      <c r="H2" s="1" t="s">
        <v>35</v>
      </c>
      <c r="I2" s="1" t="s">
        <v>36</v>
      </c>
    </row>
    <row r="3" spans="1:13" x14ac:dyDescent="0.35">
      <c r="A3" s="4">
        <v>1</v>
      </c>
      <c r="B3" s="4" t="s">
        <v>37</v>
      </c>
      <c r="C3" s="4">
        <v>25</v>
      </c>
      <c r="D3" s="4" t="s">
        <v>22</v>
      </c>
      <c r="E3" s="4" t="s">
        <v>19</v>
      </c>
      <c r="F3" s="4" t="s">
        <v>19</v>
      </c>
      <c r="G3" s="4" t="s">
        <v>19</v>
      </c>
      <c r="H3" s="4">
        <v>500000</v>
      </c>
      <c r="I3" s="4" t="s">
        <v>38</v>
      </c>
    </row>
    <row r="4" spans="1:13" x14ac:dyDescent="0.35">
      <c r="A4" s="4">
        <v>2</v>
      </c>
      <c r="B4" s="4" t="s">
        <v>37</v>
      </c>
      <c r="C4" s="4" t="s">
        <v>17</v>
      </c>
      <c r="D4" s="4" t="s">
        <v>18</v>
      </c>
      <c r="E4" s="4" t="s">
        <v>19</v>
      </c>
      <c r="F4" s="4" t="s">
        <v>19</v>
      </c>
      <c r="G4" s="4" t="s">
        <v>19</v>
      </c>
      <c r="H4" s="4"/>
      <c r="I4" s="4"/>
    </row>
    <row r="5" spans="1:13" x14ac:dyDescent="0.35">
      <c r="A5" s="4">
        <v>3</v>
      </c>
      <c r="B5" s="4" t="s">
        <v>37</v>
      </c>
      <c r="C5" s="4" t="s">
        <v>17</v>
      </c>
      <c r="D5" s="4" t="s">
        <v>18</v>
      </c>
      <c r="E5" s="4" t="s">
        <v>19</v>
      </c>
      <c r="F5" s="4" t="s">
        <v>19</v>
      </c>
      <c r="G5" s="4" t="s">
        <v>19</v>
      </c>
      <c r="H5" s="4"/>
      <c r="I5" s="4"/>
    </row>
    <row r="6" spans="1:13" x14ac:dyDescent="0.35">
      <c r="A6" s="4">
        <v>4</v>
      </c>
      <c r="B6" s="4" t="s">
        <v>37</v>
      </c>
      <c r="C6" s="4" t="s">
        <v>17</v>
      </c>
      <c r="D6" s="4" t="s">
        <v>18</v>
      </c>
      <c r="E6" s="4" t="s">
        <v>19</v>
      </c>
      <c r="F6" s="4" t="s">
        <v>19</v>
      </c>
      <c r="G6" s="4" t="s">
        <v>19</v>
      </c>
      <c r="H6" s="4"/>
      <c r="I6" s="4"/>
    </row>
    <row r="7" spans="1:13" x14ac:dyDescent="0.35">
      <c r="A7" s="4">
        <v>5</v>
      </c>
      <c r="B7" s="4" t="s">
        <v>37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19</v>
      </c>
      <c r="H7" s="4"/>
      <c r="I7" s="4"/>
    </row>
    <row r="8" spans="1:13" x14ac:dyDescent="0.35">
      <c r="A8" s="4">
        <v>6</v>
      </c>
      <c r="B8" s="4" t="s">
        <v>37</v>
      </c>
      <c r="C8" s="4" t="s">
        <v>17</v>
      </c>
      <c r="D8" s="4" t="s">
        <v>18</v>
      </c>
      <c r="E8" s="4" t="s">
        <v>19</v>
      </c>
      <c r="F8" s="4" t="s">
        <v>19</v>
      </c>
      <c r="G8" s="4" t="s">
        <v>19</v>
      </c>
      <c r="H8" s="4"/>
      <c r="I8" s="4"/>
    </row>
    <row r="9" spans="1:13" x14ac:dyDescent="0.35">
      <c r="A9" s="4">
        <v>7</v>
      </c>
      <c r="B9" s="4" t="s">
        <v>37</v>
      </c>
      <c r="C9" s="4" t="s">
        <v>17</v>
      </c>
      <c r="D9" s="4" t="s">
        <v>22</v>
      </c>
      <c r="E9" s="4" t="s">
        <v>19</v>
      </c>
      <c r="F9" s="4" t="s">
        <v>19</v>
      </c>
      <c r="G9" s="4" t="s">
        <v>19</v>
      </c>
      <c r="H9" s="4"/>
      <c r="I9" s="4"/>
    </row>
    <row r="10" spans="1:13" x14ac:dyDescent="0.35">
      <c r="A10" s="4">
        <v>8</v>
      </c>
      <c r="B10" s="4" t="s">
        <v>37</v>
      </c>
      <c r="C10" s="4" t="s">
        <v>17</v>
      </c>
      <c r="D10" s="4" t="s">
        <v>22</v>
      </c>
      <c r="E10" s="4" t="s">
        <v>19</v>
      </c>
      <c r="F10" s="4" t="s">
        <v>19</v>
      </c>
      <c r="G10" s="4" t="s">
        <v>19</v>
      </c>
      <c r="H10" s="4"/>
      <c r="I10" s="4"/>
    </row>
    <row r="11" spans="1:13" x14ac:dyDescent="0.35">
      <c r="A11" s="4">
        <v>9</v>
      </c>
      <c r="B11" s="4" t="s">
        <v>37</v>
      </c>
      <c r="C11" s="4" t="s">
        <v>17</v>
      </c>
      <c r="D11" s="4" t="s">
        <v>22</v>
      </c>
      <c r="E11" s="4" t="s">
        <v>19</v>
      </c>
      <c r="F11" s="4" t="s">
        <v>19</v>
      </c>
      <c r="G11" s="4" t="s">
        <v>19</v>
      </c>
      <c r="H11" s="4"/>
      <c r="I11" s="4"/>
    </row>
    <row r="12" spans="1:13" x14ac:dyDescent="0.35">
      <c r="A12" s="4">
        <v>10</v>
      </c>
      <c r="B12" s="4" t="s">
        <v>37</v>
      </c>
      <c r="C12" s="4" t="s">
        <v>23</v>
      </c>
      <c r="D12" s="4" t="s">
        <v>22</v>
      </c>
      <c r="E12" s="4" t="s">
        <v>19</v>
      </c>
      <c r="F12" s="4" t="s">
        <v>19</v>
      </c>
      <c r="G12" s="4" t="s">
        <v>19</v>
      </c>
      <c r="H12" s="4"/>
      <c r="I12" s="4"/>
    </row>
    <row r="13" spans="1:13" x14ac:dyDescent="0.35">
      <c r="A13" s="4">
        <v>11</v>
      </c>
      <c r="B13" s="4" t="s">
        <v>37</v>
      </c>
      <c r="C13" s="4" t="s">
        <v>23</v>
      </c>
      <c r="D13" s="4" t="s">
        <v>22</v>
      </c>
      <c r="E13" s="4" t="s">
        <v>19</v>
      </c>
      <c r="F13" s="4" t="s">
        <v>19</v>
      </c>
      <c r="G13" s="4" t="s">
        <v>19</v>
      </c>
      <c r="H13" s="4"/>
      <c r="I13" s="4"/>
    </row>
    <row r="14" spans="1:13" x14ac:dyDescent="0.35">
      <c r="A14" s="4">
        <v>12</v>
      </c>
      <c r="B14" s="4" t="s">
        <v>37</v>
      </c>
      <c r="C14" s="4" t="s">
        <v>23</v>
      </c>
      <c r="D14" s="4" t="s">
        <v>22</v>
      </c>
      <c r="E14" s="4" t="s">
        <v>19</v>
      </c>
      <c r="F14" s="4" t="s">
        <v>19</v>
      </c>
      <c r="G14" s="4" t="s">
        <v>19</v>
      </c>
      <c r="H14" s="4"/>
      <c r="I14" s="4"/>
    </row>
    <row r="15" spans="1:13" x14ac:dyDescent="0.35">
      <c r="A15" s="4">
        <v>13</v>
      </c>
      <c r="B15" s="4" t="s">
        <v>37</v>
      </c>
      <c r="C15" s="4" t="s">
        <v>23</v>
      </c>
      <c r="D15" s="4" t="s">
        <v>26</v>
      </c>
      <c r="E15" s="4" t="s">
        <v>19</v>
      </c>
      <c r="F15" s="4" t="s">
        <v>19</v>
      </c>
      <c r="G15" s="4" t="s">
        <v>19</v>
      </c>
      <c r="H15" s="4"/>
      <c r="I15" s="4"/>
    </row>
    <row r="16" spans="1:13" x14ac:dyDescent="0.35">
      <c r="A16" s="4">
        <v>14</v>
      </c>
      <c r="B16" s="4" t="s">
        <v>37</v>
      </c>
      <c r="C16" s="4" t="s">
        <v>23</v>
      </c>
      <c r="D16" s="4" t="s">
        <v>26</v>
      </c>
      <c r="E16" s="4" t="s">
        <v>19</v>
      </c>
      <c r="F16" s="4" t="s">
        <v>19</v>
      </c>
      <c r="G16" s="4" t="s">
        <v>19</v>
      </c>
      <c r="H16" s="4"/>
      <c r="I16" s="4"/>
    </row>
    <row r="17" spans="1:9" x14ac:dyDescent="0.35">
      <c r="A17" s="5">
        <v>15</v>
      </c>
      <c r="B17" s="5" t="s">
        <v>39</v>
      </c>
      <c r="C17" s="5"/>
      <c r="D17" s="5"/>
      <c r="E17" s="5"/>
      <c r="F17" s="5"/>
      <c r="G17" s="5"/>
      <c r="H17" s="5"/>
      <c r="I17" s="5"/>
    </row>
    <row r="18" spans="1:9" x14ac:dyDescent="0.35">
      <c r="A18" s="5">
        <v>16</v>
      </c>
      <c r="B18" s="5" t="s">
        <v>39</v>
      </c>
      <c r="C18" s="5"/>
      <c r="D18" s="5"/>
      <c r="E18" s="5"/>
      <c r="F18" s="5"/>
      <c r="G18" s="5"/>
      <c r="H18" s="5"/>
      <c r="I18" s="5"/>
    </row>
    <row r="19" spans="1:9" x14ac:dyDescent="0.35">
      <c r="A19" s="5">
        <v>17</v>
      </c>
      <c r="B19" s="5" t="s">
        <v>39</v>
      </c>
      <c r="C19" s="5"/>
      <c r="D19" s="5"/>
      <c r="E19" s="5"/>
      <c r="F19" s="5"/>
      <c r="G19" s="5"/>
      <c r="H19" s="5"/>
      <c r="I19" s="5"/>
    </row>
    <row r="20" spans="1:9" x14ac:dyDescent="0.35">
      <c r="A20" s="5">
        <v>18</v>
      </c>
      <c r="B20" s="5" t="s">
        <v>39</v>
      </c>
      <c r="C20" s="5"/>
      <c r="D20" s="5"/>
      <c r="E20" s="5"/>
      <c r="F20" s="5"/>
      <c r="G20" s="5"/>
      <c r="H20" s="5"/>
      <c r="I20" s="5"/>
    </row>
    <row r="21" spans="1:9" x14ac:dyDescent="0.35">
      <c r="A21" s="6">
        <v>19</v>
      </c>
      <c r="B21" s="6" t="s">
        <v>40</v>
      </c>
      <c r="C21" s="6" t="s">
        <v>19</v>
      </c>
      <c r="D21" s="6" t="s">
        <v>19</v>
      </c>
      <c r="E21" s="6" t="s">
        <v>19</v>
      </c>
      <c r="F21" s="6" t="s">
        <v>19</v>
      </c>
      <c r="G21" s="6"/>
      <c r="H21" s="6"/>
      <c r="I21" s="6"/>
    </row>
    <row r="22" spans="1:9" x14ac:dyDescent="0.35">
      <c r="A22" s="6">
        <v>20</v>
      </c>
      <c r="B22" s="6" t="s">
        <v>40</v>
      </c>
      <c r="C22" s="6" t="s">
        <v>19</v>
      </c>
      <c r="D22" s="6" t="s">
        <v>19</v>
      </c>
      <c r="E22" s="6" t="s">
        <v>19</v>
      </c>
      <c r="F22" s="6" t="s">
        <v>19</v>
      </c>
      <c r="G22" s="6"/>
      <c r="H22" s="6"/>
      <c r="I22" s="6"/>
    </row>
    <row r="24" spans="1:9" ht="14" customHeight="1" x14ac:dyDescent="0.35">
      <c r="A24" s="7" t="s">
        <v>41</v>
      </c>
      <c r="B24" s="8" t="s">
        <v>42</v>
      </c>
      <c r="C24" s="9" t="s">
        <v>43</v>
      </c>
    </row>
  </sheetData>
  <mergeCells count="2">
    <mergeCell ref="A1:I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pane xSplit="1" ySplit="3" topLeftCell="B4" activePane="bottomRight" state="frozen"/>
      <selection pane="topRight"/>
      <selection pane="bottomLeft"/>
      <selection pane="bottomRight" activeCell="E72" sqref="E72"/>
    </sheetView>
  </sheetViews>
  <sheetFormatPr defaultRowHeight="14.5" x14ac:dyDescent="0.35"/>
  <cols>
    <col min="1" max="1" width="68.36328125" bestFit="1" customWidth="1"/>
    <col min="2" max="4" width="10" customWidth="1"/>
    <col min="5" max="5" width="14" customWidth="1"/>
    <col min="6" max="6" width="38" customWidth="1"/>
  </cols>
  <sheetData>
    <row r="1" spans="1:7" ht="20" customHeight="1" x14ac:dyDescent="0.35">
      <c r="A1" s="17" t="s">
        <v>44</v>
      </c>
      <c r="B1" s="18"/>
      <c r="C1" s="18"/>
      <c r="D1" s="18"/>
      <c r="E1" s="18"/>
      <c r="F1" s="18"/>
      <c r="G1" s="18"/>
    </row>
    <row r="3" spans="1:7" ht="22" customHeight="1" x14ac:dyDescent="0.35">
      <c r="A3" s="20" t="s">
        <v>45</v>
      </c>
      <c r="B3" s="18"/>
      <c r="C3" s="18"/>
      <c r="D3" s="18"/>
      <c r="E3" s="18"/>
      <c r="F3" s="18"/>
      <c r="G3" s="18"/>
    </row>
    <row r="4" spans="1:7" ht="42" customHeight="1" x14ac:dyDescent="0.35">
      <c r="A4" s="19" t="s">
        <v>46</v>
      </c>
      <c r="B4" s="18"/>
      <c r="C4" s="18"/>
      <c r="D4" s="18"/>
      <c r="E4" s="18"/>
      <c r="F4" s="18"/>
      <c r="G4" s="18"/>
    </row>
    <row r="5" spans="1:7" ht="32" customHeight="1" x14ac:dyDescent="0.35">
      <c r="A5" s="1" t="s">
        <v>31</v>
      </c>
      <c r="B5" s="1" t="s">
        <v>32</v>
      </c>
      <c r="C5" s="1" t="s">
        <v>47</v>
      </c>
      <c r="D5" s="1" t="s">
        <v>48</v>
      </c>
      <c r="E5" s="1" t="s">
        <v>49</v>
      </c>
      <c r="F5" s="10" t="s">
        <v>50</v>
      </c>
    </row>
    <row r="6" spans="1:7" x14ac:dyDescent="0.35">
      <c r="A6" s="2" t="s">
        <v>17</v>
      </c>
      <c r="B6" s="2" t="s">
        <v>18</v>
      </c>
      <c r="C6" s="2">
        <v>2500</v>
      </c>
      <c r="D6" s="2">
        <v>4500</v>
      </c>
      <c r="E6" s="2">
        <v>9000</v>
      </c>
    </row>
    <row r="7" spans="1:7" x14ac:dyDescent="0.35">
      <c r="A7" s="3" t="s">
        <v>17</v>
      </c>
      <c r="B7" s="3" t="s">
        <v>22</v>
      </c>
      <c r="C7" s="3">
        <v>2500</v>
      </c>
      <c r="D7" s="3">
        <v>4500</v>
      </c>
      <c r="E7" s="3">
        <v>9000</v>
      </c>
    </row>
    <row r="8" spans="1:7" x14ac:dyDescent="0.35">
      <c r="A8" s="2" t="s">
        <v>23</v>
      </c>
      <c r="B8" s="2" t="s">
        <v>22</v>
      </c>
      <c r="C8" s="2">
        <v>1000</v>
      </c>
      <c r="D8" s="2">
        <v>2000</v>
      </c>
      <c r="E8" s="2">
        <v>4000</v>
      </c>
    </row>
    <row r="9" spans="1:7" x14ac:dyDescent="0.35">
      <c r="A9" s="3" t="s">
        <v>23</v>
      </c>
      <c r="B9" s="3" t="s">
        <v>26</v>
      </c>
      <c r="C9" s="3">
        <v>1000</v>
      </c>
      <c r="D9" s="3">
        <v>2000</v>
      </c>
      <c r="E9" s="3">
        <v>4000</v>
      </c>
    </row>
    <row r="12" spans="1:7" ht="22" customHeight="1" x14ac:dyDescent="0.35">
      <c r="A12" s="20" t="s">
        <v>51</v>
      </c>
      <c r="B12" s="18"/>
      <c r="C12" s="18"/>
      <c r="D12" s="18"/>
      <c r="E12" s="18"/>
      <c r="F12" s="18"/>
      <c r="G12" s="18"/>
    </row>
    <row r="13" spans="1:7" ht="42" customHeight="1" x14ac:dyDescent="0.35">
      <c r="A13" s="19" t="s">
        <v>52</v>
      </c>
      <c r="B13" s="18"/>
      <c r="C13" s="18"/>
      <c r="D13" s="18"/>
      <c r="E13" s="18"/>
      <c r="F13" s="18"/>
      <c r="G13" s="18"/>
    </row>
    <row r="14" spans="1:7" ht="32" customHeight="1" x14ac:dyDescent="0.35">
      <c r="A14" s="1" t="s">
        <v>2</v>
      </c>
      <c r="B14" s="1" t="s">
        <v>53</v>
      </c>
      <c r="C14" s="1" t="s">
        <v>54</v>
      </c>
      <c r="D14" s="1" t="s">
        <v>55</v>
      </c>
      <c r="E14" s="10" t="s">
        <v>50</v>
      </c>
    </row>
    <row r="15" spans="1:7" x14ac:dyDescent="0.35">
      <c r="A15" s="14" t="s">
        <v>82</v>
      </c>
      <c r="B15" s="2">
        <v>600</v>
      </c>
      <c r="C15" s="2">
        <v>800</v>
      </c>
      <c r="D15" s="2">
        <v>1200</v>
      </c>
    </row>
    <row r="16" spans="1:7" x14ac:dyDescent="0.35">
      <c r="A16" s="15" t="s">
        <v>83</v>
      </c>
      <c r="B16" s="3">
        <v>450</v>
      </c>
      <c r="C16" s="3">
        <v>650</v>
      </c>
      <c r="D16" s="3">
        <v>980</v>
      </c>
    </row>
    <row r="17" spans="1:4" x14ac:dyDescent="0.35">
      <c r="A17" s="14" t="s">
        <v>84</v>
      </c>
      <c r="B17" s="2">
        <v>300</v>
      </c>
      <c r="C17" s="2">
        <v>500</v>
      </c>
      <c r="D17" s="2">
        <v>800</v>
      </c>
    </row>
    <row r="18" spans="1:4" x14ac:dyDescent="0.35">
      <c r="A18" s="15" t="s">
        <v>85</v>
      </c>
      <c r="B18" s="3">
        <v>350</v>
      </c>
      <c r="C18" s="3">
        <v>580</v>
      </c>
      <c r="D18" s="3">
        <v>950</v>
      </c>
    </row>
    <row r="19" spans="1:4" x14ac:dyDescent="0.35">
      <c r="A19" s="14" t="s">
        <v>86</v>
      </c>
      <c r="B19" s="2">
        <v>300</v>
      </c>
      <c r="C19" s="2">
        <v>500</v>
      </c>
      <c r="D19" s="2">
        <v>800</v>
      </c>
    </row>
    <row r="20" spans="1:4" x14ac:dyDescent="0.35">
      <c r="A20" s="15" t="s">
        <v>87</v>
      </c>
      <c r="B20" s="2">
        <v>300</v>
      </c>
      <c r="C20" s="2">
        <v>500</v>
      </c>
      <c r="D20" s="2">
        <v>800</v>
      </c>
    </row>
    <row r="21" spans="1:4" x14ac:dyDescent="0.35">
      <c r="A21" s="14" t="s">
        <v>88</v>
      </c>
      <c r="B21" s="2">
        <v>300</v>
      </c>
      <c r="C21" s="2">
        <v>500</v>
      </c>
      <c r="D21" s="2">
        <v>800</v>
      </c>
    </row>
    <row r="22" spans="1:4" x14ac:dyDescent="0.35">
      <c r="A22" s="15" t="s">
        <v>89</v>
      </c>
      <c r="B22" s="2">
        <v>300</v>
      </c>
      <c r="C22" s="2">
        <v>500</v>
      </c>
      <c r="D22" s="2">
        <v>800</v>
      </c>
    </row>
    <row r="23" spans="1:4" x14ac:dyDescent="0.35">
      <c r="A23" s="14" t="s">
        <v>90</v>
      </c>
      <c r="B23" s="2">
        <v>300</v>
      </c>
      <c r="C23" s="2">
        <v>500</v>
      </c>
      <c r="D23" s="2">
        <v>800</v>
      </c>
    </row>
    <row r="24" spans="1:4" x14ac:dyDescent="0.35">
      <c r="A24" s="15" t="s">
        <v>91</v>
      </c>
      <c r="B24" s="2">
        <v>300</v>
      </c>
      <c r="C24" s="2">
        <v>500</v>
      </c>
      <c r="D24" s="2">
        <v>800</v>
      </c>
    </row>
    <row r="25" spans="1:4" x14ac:dyDescent="0.35">
      <c r="A25" s="14" t="s">
        <v>92</v>
      </c>
      <c r="B25" s="2">
        <v>300</v>
      </c>
      <c r="C25" s="2">
        <v>500</v>
      </c>
      <c r="D25" s="2">
        <v>800</v>
      </c>
    </row>
    <row r="26" spans="1:4" x14ac:dyDescent="0.35">
      <c r="A26" s="15" t="s">
        <v>93</v>
      </c>
      <c r="B26" s="2">
        <v>300</v>
      </c>
      <c r="C26" s="2">
        <v>500</v>
      </c>
      <c r="D26" s="2">
        <v>800</v>
      </c>
    </row>
    <row r="27" spans="1:4" x14ac:dyDescent="0.35">
      <c r="A27" s="14" t="s">
        <v>94</v>
      </c>
      <c r="B27" s="2">
        <v>300</v>
      </c>
      <c r="C27" s="2">
        <v>500</v>
      </c>
      <c r="D27" s="2">
        <v>800</v>
      </c>
    </row>
    <row r="28" spans="1:4" x14ac:dyDescent="0.35">
      <c r="A28" s="15" t="s">
        <v>95</v>
      </c>
      <c r="B28" s="2">
        <v>300</v>
      </c>
      <c r="C28" s="2">
        <v>500</v>
      </c>
      <c r="D28" s="2">
        <v>800</v>
      </c>
    </row>
    <row r="29" spans="1:4" x14ac:dyDescent="0.35">
      <c r="A29" s="14" t="s">
        <v>96</v>
      </c>
      <c r="B29" s="2">
        <v>300</v>
      </c>
      <c r="C29" s="2">
        <v>500</v>
      </c>
      <c r="D29" s="2">
        <v>800</v>
      </c>
    </row>
    <row r="30" spans="1:4" x14ac:dyDescent="0.35">
      <c r="A30" s="15" t="s">
        <v>97</v>
      </c>
      <c r="B30" s="2">
        <v>300</v>
      </c>
      <c r="C30" s="2">
        <v>500</v>
      </c>
      <c r="D30" s="2">
        <v>800</v>
      </c>
    </row>
    <row r="31" spans="1:4" x14ac:dyDescent="0.35">
      <c r="A31" s="14" t="s">
        <v>98</v>
      </c>
      <c r="B31" s="2">
        <v>300</v>
      </c>
      <c r="C31" s="2">
        <v>500</v>
      </c>
      <c r="D31" s="2">
        <v>800</v>
      </c>
    </row>
    <row r="32" spans="1:4" x14ac:dyDescent="0.35">
      <c r="A32" s="15" t="s">
        <v>99</v>
      </c>
      <c r="B32" s="2">
        <v>300</v>
      </c>
      <c r="C32" s="2">
        <v>500</v>
      </c>
      <c r="D32" s="2">
        <v>800</v>
      </c>
    </row>
    <row r="33" spans="1:4" x14ac:dyDescent="0.35">
      <c r="A33" s="14" t="s">
        <v>100</v>
      </c>
      <c r="B33" s="2">
        <v>300</v>
      </c>
      <c r="C33" s="2">
        <v>500</v>
      </c>
      <c r="D33" s="2">
        <v>800</v>
      </c>
    </row>
    <row r="34" spans="1:4" x14ac:dyDescent="0.35">
      <c r="A34" s="15" t="s">
        <v>101</v>
      </c>
      <c r="B34" s="2">
        <v>300</v>
      </c>
      <c r="C34" s="2">
        <v>500</v>
      </c>
      <c r="D34" s="2">
        <v>800</v>
      </c>
    </row>
    <row r="35" spans="1:4" x14ac:dyDescent="0.35">
      <c r="A35" s="14" t="s">
        <v>102</v>
      </c>
      <c r="B35" s="2">
        <v>300</v>
      </c>
      <c r="C35" s="2">
        <v>500</v>
      </c>
      <c r="D35" s="2">
        <v>800</v>
      </c>
    </row>
    <row r="36" spans="1:4" x14ac:dyDescent="0.35">
      <c r="A36" s="15" t="s">
        <v>103</v>
      </c>
      <c r="B36" s="2">
        <v>300</v>
      </c>
      <c r="C36" s="2">
        <v>500</v>
      </c>
      <c r="D36" s="2">
        <v>800</v>
      </c>
    </row>
    <row r="37" spans="1:4" x14ac:dyDescent="0.35">
      <c r="A37" s="14" t="s">
        <v>104</v>
      </c>
      <c r="B37" s="2">
        <v>300</v>
      </c>
      <c r="C37" s="2">
        <v>500</v>
      </c>
      <c r="D37" s="2">
        <v>800</v>
      </c>
    </row>
    <row r="38" spans="1:4" x14ac:dyDescent="0.35">
      <c r="A38" s="15" t="s">
        <v>105</v>
      </c>
      <c r="B38" s="2">
        <v>300</v>
      </c>
      <c r="C38" s="2">
        <v>500</v>
      </c>
      <c r="D38" s="2">
        <v>800</v>
      </c>
    </row>
    <row r="39" spans="1:4" x14ac:dyDescent="0.35">
      <c r="A39" s="14" t="s">
        <v>106</v>
      </c>
      <c r="B39" s="2">
        <v>300</v>
      </c>
      <c r="C39" s="2">
        <v>500</v>
      </c>
      <c r="D39" s="2">
        <v>800</v>
      </c>
    </row>
    <row r="40" spans="1:4" x14ac:dyDescent="0.35">
      <c r="A40" s="15" t="s">
        <v>107</v>
      </c>
      <c r="B40" s="2">
        <v>300</v>
      </c>
      <c r="C40" s="2">
        <v>500</v>
      </c>
      <c r="D40" s="2">
        <v>800</v>
      </c>
    </row>
    <row r="41" spans="1:4" x14ac:dyDescent="0.35">
      <c r="A41" s="14" t="s">
        <v>108</v>
      </c>
      <c r="B41" s="2">
        <v>300</v>
      </c>
      <c r="C41" s="2">
        <v>500</v>
      </c>
      <c r="D41" s="2">
        <v>800</v>
      </c>
    </row>
    <row r="42" spans="1:4" x14ac:dyDescent="0.35">
      <c r="A42" s="15" t="s">
        <v>109</v>
      </c>
      <c r="B42" s="2">
        <v>300</v>
      </c>
      <c r="C42" s="2">
        <v>500</v>
      </c>
      <c r="D42" s="2">
        <v>800</v>
      </c>
    </row>
    <row r="43" spans="1:4" x14ac:dyDescent="0.35">
      <c r="A43" s="14" t="s">
        <v>110</v>
      </c>
      <c r="B43" s="2">
        <v>300</v>
      </c>
      <c r="C43" s="2">
        <v>500</v>
      </c>
      <c r="D43" s="2">
        <v>800</v>
      </c>
    </row>
    <row r="44" spans="1:4" x14ac:dyDescent="0.35">
      <c r="A44" s="15" t="s">
        <v>111</v>
      </c>
      <c r="B44" s="2">
        <v>300</v>
      </c>
      <c r="C44" s="2">
        <v>500</v>
      </c>
      <c r="D44" s="2">
        <v>800</v>
      </c>
    </row>
    <row r="45" spans="1:4" x14ac:dyDescent="0.35">
      <c r="A45" s="14" t="s">
        <v>112</v>
      </c>
      <c r="B45" s="2">
        <v>300</v>
      </c>
      <c r="C45" s="2">
        <v>500</v>
      </c>
      <c r="D45" s="2">
        <v>800</v>
      </c>
    </row>
    <row r="46" spans="1:4" x14ac:dyDescent="0.35">
      <c r="A46" s="15" t="s">
        <v>113</v>
      </c>
      <c r="B46" s="2">
        <v>300</v>
      </c>
      <c r="C46" s="2">
        <v>500</v>
      </c>
      <c r="D46" s="2">
        <v>800</v>
      </c>
    </row>
    <row r="47" spans="1:4" x14ac:dyDescent="0.35">
      <c r="A47" s="14" t="s">
        <v>114</v>
      </c>
      <c r="B47" s="2">
        <v>300</v>
      </c>
      <c r="C47" s="2">
        <v>500</v>
      </c>
      <c r="D47" s="2">
        <v>800</v>
      </c>
    </row>
    <row r="48" spans="1:4" x14ac:dyDescent="0.35">
      <c r="A48" s="15" t="s">
        <v>115</v>
      </c>
      <c r="B48" s="2">
        <v>300</v>
      </c>
      <c r="C48" s="2">
        <v>500</v>
      </c>
      <c r="D48" s="2">
        <v>800</v>
      </c>
    </row>
    <row r="49" spans="1:4" x14ac:dyDescent="0.35">
      <c r="A49" s="14" t="s">
        <v>116</v>
      </c>
      <c r="B49" s="2">
        <v>300</v>
      </c>
      <c r="C49" s="2">
        <v>500</v>
      </c>
      <c r="D49" s="2">
        <v>800</v>
      </c>
    </row>
    <row r="50" spans="1:4" x14ac:dyDescent="0.35">
      <c r="A50" s="15" t="s">
        <v>117</v>
      </c>
      <c r="B50" s="2">
        <v>300</v>
      </c>
      <c r="C50" s="2">
        <v>500</v>
      </c>
      <c r="D50" s="2">
        <v>800</v>
      </c>
    </row>
    <row r="51" spans="1:4" x14ac:dyDescent="0.35">
      <c r="A51" s="14" t="s">
        <v>118</v>
      </c>
      <c r="B51" s="2">
        <v>300</v>
      </c>
      <c r="C51" s="2">
        <v>500</v>
      </c>
      <c r="D51" s="2">
        <v>800</v>
      </c>
    </row>
    <row r="52" spans="1:4" x14ac:dyDescent="0.35">
      <c r="A52" s="15" t="s">
        <v>119</v>
      </c>
      <c r="B52" s="2">
        <v>300</v>
      </c>
      <c r="C52" s="2">
        <v>500</v>
      </c>
      <c r="D52" s="2">
        <v>800</v>
      </c>
    </row>
    <row r="53" spans="1:4" x14ac:dyDescent="0.35">
      <c r="A53" s="14" t="s">
        <v>120</v>
      </c>
      <c r="B53" s="2">
        <v>300</v>
      </c>
      <c r="C53" s="2">
        <v>500</v>
      </c>
      <c r="D53" s="2">
        <v>800</v>
      </c>
    </row>
    <row r="54" spans="1:4" x14ac:dyDescent="0.35">
      <c r="A54" s="15" t="s">
        <v>121</v>
      </c>
      <c r="B54" s="2">
        <v>300</v>
      </c>
      <c r="C54" s="2">
        <v>500</v>
      </c>
      <c r="D54" s="2">
        <v>800</v>
      </c>
    </row>
    <row r="55" spans="1:4" x14ac:dyDescent="0.35">
      <c r="A55" s="14" t="s">
        <v>122</v>
      </c>
      <c r="B55" s="2">
        <v>300</v>
      </c>
      <c r="C55" s="2">
        <v>500</v>
      </c>
      <c r="D55" s="2">
        <v>800</v>
      </c>
    </row>
    <row r="56" spans="1:4" x14ac:dyDescent="0.35">
      <c r="A56" s="15" t="s">
        <v>123</v>
      </c>
      <c r="B56" s="2">
        <v>300</v>
      </c>
      <c r="C56" s="2">
        <v>500</v>
      </c>
      <c r="D56" s="2">
        <v>800</v>
      </c>
    </row>
    <row r="57" spans="1:4" x14ac:dyDescent="0.35">
      <c r="A57" s="14" t="s">
        <v>124</v>
      </c>
      <c r="B57" s="2">
        <v>300</v>
      </c>
      <c r="C57" s="2">
        <v>500</v>
      </c>
      <c r="D57" s="2">
        <v>800</v>
      </c>
    </row>
    <row r="58" spans="1:4" x14ac:dyDescent="0.35">
      <c r="A58" s="15" t="s">
        <v>125</v>
      </c>
      <c r="B58" s="2">
        <v>300</v>
      </c>
      <c r="C58" s="2">
        <v>500</v>
      </c>
      <c r="D58" s="2">
        <v>800</v>
      </c>
    </row>
    <row r="59" spans="1:4" x14ac:dyDescent="0.35">
      <c r="A59" s="14" t="s">
        <v>126</v>
      </c>
      <c r="B59" s="2">
        <v>300</v>
      </c>
      <c r="C59" s="2">
        <v>500</v>
      </c>
      <c r="D59" s="2">
        <v>800</v>
      </c>
    </row>
    <row r="60" spans="1:4" x14ac:dyDescent="0.35">
      <c r="A60" s="15" t="s">
        <v>127</v>
      </c>
      <c r="B60" s="2">
        <v>300</v>
      </c>
      <c r="C60" s="2">
        <v>500</v>
      </c>
      <c r="D60" s="2">
        <v>800</v>
      </c>
    </row>
    <row r="61" spans="1:4" x14ac:dyDescent="0.35">
      <c r="A61" s="14" t="s">
        <v>128</v>
      </c>
      <c r="B61" s="2">
        <v>300</v>
      </c>
      <c r="C61" s="2">
        <v>500</v>
      </c>
      <c r="D61" s="2">
        <v>800</v>
      </c>
    </row>
    <row r="62" spans="1:4" x14ac:dyDescent="0.35">
      <c r="A62" s="15" t="s">
        <v>129</v>
      </c>
      <c r="B62" s="2">
        <v>300</v>
      </c>
      <c r="C62" s="2">
        <v>500</v>
      </c>
      <c r="D62" s="2">
        <v>800</v>
      </c>
    </row>
    <row r="63" spans="1:4" x14ac:dyDescent="0.35">
      <c r="A63" s="14" t="s">
        <v>130</v>
      </c>
      <c r="B63" s="2">
        <v>300</v>
      </c>
      <c r="C63" s="2">
        <v>500</v>
      </c>
      <c r="D63" s="2">
        <v>800</v>
      </c>
    </row>
    <row r="64" spans="1:4" x14ac:dyDescent="0.35">
      <c r="A64" s="15" t="s">
        <v>131</v>
      </c>
      <c r="B64" s="2">
        <v>300</v>
      </c>
      <c r="C64" s="2">
        <v>500</v>
      </c>
      <c r="D64" s="2">
        <v>800</v>
      </c>
    </row>
    <row r="65" spans="1:4" x14ac:dyDescent="0.35">
      <c r="A65" s="16" t="s">
        <v>132</v>
      </c>
      <c r="B65" s="2">
        <v>300</v>
      </c>
      <c r="C65" s="2">
        <v>500</v>
      </c>
      <c r="D65" s="2">
        <v>800</v>
      </c>
    </row>
  </sheetData>
  <mergeCells count="5">
    <mergeCell ref="A13:G13"/>
    <mergeCell ref="A1:G1"/>
    <mergeCell ref="A3:G3"/>
    <mergeCell ref="A12:G12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2" topLeftCell="A3" activePane="bottomLeft" state="frozen"/>
      <selection pane="bottomLeft" activeCell="C10" sqref="C10"/>
    </sheetView>
  </sheetViews>
  <sheetFormatPr defaultRowHeight="14.5" x14ac:dyDescent="0.35"/>
  <cols>
    <col min="1" max="1" width="45" customWidth="1"/>
    <col min="2" max="2" width="14" customWidth="1"/>
    <col min="3" max="3" width="50" customWidth="1"/>
  </cols>
  <sheetData>
    <row r="1" spans="1:3" ht="18" customHeight="1" x14ac:dyDescent="0.35">
      <c r="A1" s="17" t="s">
        <v>56</v>
      </c>
      <c r="B1" s="18"/>
      <c r="C1" s="18"/>
    </row>
    <row r="2" spans="1:3" ht="36" customHeight="1" x14ac:dyDescent="0.35">
      <c r="A2" s="1" t="s">
        <v>57</v>
      </c>
      <c r="B2" s="1" t="s">
        <v>58</v>
      </c>
      <c r="C2" s="1" t="s">
        <v>16</v>
      </c>
    </row>
    <row r="3" spans="1:3" ht="26" x14ac:dyDescent="0.35">
      <c r="A3" s="2" t="s">
        <v>59</v>
      </c>
      <c r="B3" s="2">
        <v>4500</v>
      </c>
      <c r="C3" s="2" t="s">
        <v>60</v>
      </c>
    </row>
    <row r="4" spans="1:3" x14ac:dyDescent="0.35">
      <c r="A4" s="3" t="s">
        <v>61</v>
      </c>
      <c r="B4" s="3">
        <v>2100</v>
      </c>
      <c r="C4" s="3" t="s">
        <v>62</v>
      </c>
    </row>
    <row r="5" spans="1:3" x14ac:dyDescent="0.35">
      <c r="A5" s="2" t="s">
        <v>63</v>
      </c>
      <c r="B5" s="2">
        <v>450</v>
      </c>
      <c r="C5" s="2" t="s">
        <v>64</v>
      </c>
    </row>
    <row r="6" spans="1:3" x14ac:dyDescent="0.35">
      <c r="A6" s="3" t="s">
        <v>65</v>
      </c>
      <c r="B6" s="3" t="s">
        <v>66</v>
      </c>
      <c r="C6" s="3" t="s">
        <v>67</v>
      </c>
    </row>
    <row r="7" spans="1:3" ht="39" x14ac:dyDescent="0.35">
      <c r="A7" s="2" t="s">
        <v>68</v>
      </c>
      <c r="B7" s="2" t="s">
        <v>69</v>
      </c>
      <c r="C7" s="2" t="s">
        <v>70</v>
      </c>
    </row>
    <row r="8" spans="1:3" ht="26" x14ac:dyDescent="0.35">
      <c r="A8" s="3" t="s">
        <v>71</v>
      </c>
      <c r="B8" s="3" t="s">
        <v>72</v>
      </c>
      <c r="C8" s="3" t="s">
        <v>73</v>
      </c>
    </row>
    <row r="9" spans="1:3" ht="26" x14ac:dyDescent="0.35">
      <c r="A9" s="2" t="s">
        <v>74</v>
      </c>
      <c r="B9" s="2">
        <v>5</v>
      </c>
      <c r="C9" s="2" t="s">
        <v>75</v>
      </c>
    </row>
    <row r="10" spans="1:3" ht="26" x14ac:dyDescent="0.35">
      <c r="A10" s="3" t="s">
        <v>76</v>
      </c>
      <c r="B10" s="3">
        <v>3</v>
      </c>
      <c r="C10" s="3" t="s">
        <v>77</v>
      </c>
    </row>
    <row r="11" spans="1:3" ht="26" x14ac:dyDescent="0.35">
      <c r="A11" s="2" t="s">
        <v>78</v>
      </c>
      <c r="B11" s="2" t="s">
        <v>66</v>
      </c>
      <c r="C11" s="2" t="s">
        <v>79</v>
      </c>
    </row>
    <row r="12" spans="1:3" ht="26" x14ac:dyDescent="0.35">
      <c r="A12" s="3" t="s">
        <v>80</v>
      </c>
      <c r="B12" s="3">
        <v>50</v>
      </c>
      <c r="C12" s="3" t="s">
        <v>81</v>
      </c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6FD0F4-7BC5-40AE-932C-EC5F83A80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Заказы</vt:lpstr>
      <vt:lpstr>2. Состав кабелей</vt:lpstr>
      <vt:lpstr>3. П-Ф (склад)</vt:lpstr>
      <vt:lpstr>4. Барабаны</vt:lpstr>
      <vt:lpstr>5. Параметры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sashaiv</cp:lastModifiedBy>
  <dcterms:created xsi:type="dcterms:W3CDTF">2026-02-23T12:14:34Z</dcterms:created>
  <dcterms:modified xsi:type="dcterms:W3CDTF">2026-02-27T11:02:08Z</dcterms:modified>
</cp:coreProperties>
</file>